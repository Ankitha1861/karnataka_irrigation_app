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karnataka_irrigation_projects_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<sst xmlns="http://schemas.openxmlformats.org/spreadsheetml/2006/main" count="1445" uniqueCount="912">
  <si>
    <t>project_name</t>
  </si>
  <si>
    <t>project_type</t>
  </si>
  <si>
    <t>current_status</t>
  </si>
  <si>
    <t>region</t>
  </si>
  <si>
    <t>hectares_irrigated</t>
  </si>
  <si>
    <t>water_allocation_tmc</t>
  </si>
  <si>
    <t>primary_river</t>
  </si>
  <si>
    <t>districts_benefitted</t>
  </si>
  <si>
    <t>taluks_benefitted</t>
  </si>
  <si>
    <t>primary_purpose</t>
  </si>
  <si>
    <t>dpr_approval_date</t>
  </si>
  <si>
    <t>dpr_approval_amount</t>
  </si>
  <si>
    <t>revised_approval_date</t>
  </si>
  <si>
    <t>revised_approval_amount</t>
  </si>
  <si>
    <t>expenditure_mar_2024</t>
  </si>
  <si>
    <t>completion_percentage</t>
  </si>
  <si>
    <t>cost_variance_crores</t>
  </si>
  <si>
    <t>nabard_loan</t>
  </si>
  <si>
    <t>key_infrastructure</t>
  </si>
  <si>
    <t>canals</t>
  </si>
  <si>
    <t>additional remarks</t>
  </si>
  <si>
    <t>latitude &amp; longitude</t>
  </si>
  <si>
    <t>latitude</t>
  </si>
  <si>
    <t>logitude</t>
  </si>
  <si>
    <t>Ghataprabha Left Bank Canal Modernisation</t>
  </si>
  <si>
    <t>Modernisation</t>
  </si>
  <si>
    <t>Completed</t>
  </si>
  <si>
    <t>North Karnataka</t>
  </si>
  <si>
    <t>Ghataprabha</t>
  </si>
  <si>
    <t>['Belagavi', 'Bagalkot']</t>
  </si>
  <si>
    <t>['Athani', 'Chikkodi', 'Gokak', 'Hukkeri', 'Raibag', 'Ramdurg', 'Savadatti', 'Badami', 'Bagalkot', 'Bilagi', 'Hunagund', 'Jamakhandi', 'Mudhol']</t>
  </si>
  <si>
    <t>Irrigation, Modernisation</t>
  </si>
  <si>
    <t>06.12.2018</t>
  </si>
  <si>
    <t>09.10.2023</t>
  </si>
  <si>
    <t>Canal lining and structures</t>
  </si>
  <si>
    <t>['main canal of Ghataprabha (selected reaches in 0.00 to 109.00 km)', 'Gokak Canal (0.00 to 20.00 km)', 'Saidapura Canal (0.00 to 24.00 km)', 'South Canal (selected reaches in 0.00 to 45.00 km)', 'Bilagi Branch Canal (selected reaches in 0.00 to 49.00 km)']</t>
  </si>
  <si>
    <t>16.16781522305941, 74.65493199955361</t>
  </si>
  <si>
    <t>Udyana Kashi at Hidkal Dam</t>
  </si>
  <si>
    <t>Eco-Tourism</t>
  </si>
  <si>
    <t>Under Progress</t>
  </si>
  <si>
    <t>Unknown</t>
  </si>
  <si>
    <t>create space for eco-tourism</t>
  </si>
  <si>
    <t>07.03.2022</t>
  </si>
  <si>
    <t>parks, themed gardens, musical fountain, museum, planetorium &amp; scientific centre, amusement parks, adventure sports park, skill centre, tourist information centre, cafeteria, hotels and restuarants</t>
  </si>
  <si>
    <t>Utilizes 400 acres space below Hidkal dam. Out of total 07 works under the first phase, tender process for Package-I has been completed and order has to be issued. Remaining package works are at various stages of the tender process. Includes information on Rajalakham Gowda.</t>
  </si>
  <si>
    <t>16.14158933439945, 74.5993316286537</t>
  </si>
  <si>
    <t>Hippargi Irrigation Project</t>
  </si>
  <si>
    <t>Lift Irrigation Scheme</t>
  </si>
  <si>
    <t>['Athani', 'Chikkodi', 'Jamakhandi']</t>
  </si>
  <si>
    <t>Irrigate land, avoid erosion of agricultural land</t>
  </si>
  <si>
    <t>04.10.1991</t>
  </si>
  <si>
    <t>26.02.2008</t>
  </si>
  <si>
    <t>7 lift schemes, barrage, 500m long 15ft high retaining wall</t>
  </si>
  <si>
    <t>Total length of canal is 306 km</t>
  </si>
  <si>
    <t>All 7 lift schemes under the project are completed and the area of 74742 ha is brought under irrigation. Further, it is proposed to construct a 500m long 15ft high retaining wall on the left side downstream of the barrage to avoid erosion.</t>
  </si>
  <si>
    <t>16.555025689634657, 75.17004486075129</t>
  </si>
  <si>
    <t>Murgod Lift Irrigation Scheme</t>
  </si>
  <si>
    <t>Nearing Completion</t>
  </si>
  <si>
    <t>Markandeya</t>
  </si>
  <si>
    <t>Irrigation</t>
  </si>
  <si>
    <t>17.04.2007</t>
  </si>
  <si>
    <t>Markandeya right bank canal</t>
  </si>
  <si>
    <t>Lifting of water from 55th km of Markandeya right bank canal (near Malagali village) to irrigate area in 8 villages.</t>
  </si>
  <si>
    <t>15.886344133834498, 74.92702110597986</t>
  </si>
  <si>
    <t>Chachadi Lift Irrigation Scheme</t>
  </si>
  <si>
    <t>headwork</t>
  </si>
  <si>
    <t>Contract for the headwork and initial 5.00 km.</t>
  </si>
  <si>
    <t>15.923605598913797, 74.8610011254369</t>
  </si>
  <si>
    <t>Doodhganga Project</t>
  </si>
  <si>
    <t>Irrigation Project</t>
  </si>
  <si>
    <t>Doodhganga</t>
  </si>
  <si>
    <t xml:space="preserve"> </t>
  </si>
  <si>
    <t>Composite Dam</t>
  </si>
  <si>
    <t>[{'name': 'Nidhori', 'length_km': 21.57, 'status': 'Completed'}, {'name': 'Bidari', 'length_km': 25.155, 'status': 'Under Progress'}, {'name': 'Dattawad', 'length_km': 30.0, 'status': None}]</t>
  </si>
  <si>
    <t>Inter-state project of Maharashtra and Karnataka. Dam located near Asangaon village of Rathnagiri taluk in Kolhapur District of Maharashtra state.</t>
  </si>
  <si>
    <t>16.707760033044107, 74.24987334054683</t>
  </si>
  <si>
    <t>Bellary Nala Project</t>
  </si>
  <si>
    <t>Bellary nala</t>
  </si>
  <si>
    <t>['Belagavi']</t>
  </si>
  <si>
    <t>['Belagavi', 'Gokak', 'Saundatti', 'Bailahongal']</t>
  </si>
  <si>
    <t>17.01.2005</t>
  </si>
  <si>
    <t>['Dam']</t>
  </si>
  <si>
    <t>Main canal with total length of 106 km.</t>
  </si>
  <si>
    <t>Bellary nala is a main tributary to Markendaya River. Dam foundation in block 1 to 6 and 8 to 18 are partly completed. Works in main canal from km 44 to 106 are under progress, excluding works in forest areas from km 1 to 10 and 32 to 40.</t>
  </si>
  <si>
    <t>15.839621367068691, 74.54363017951177</t>
  </si>
  <si>
    <t>Kinaye Project</t>
  </si>
  <si>
    <t>Dam Construction</t>
  </si>
  <si>
    <t>Mangothri River</t>
  </si>
  <si>
    <t>28.09.2010</t>
  </si>
  <si>
    <t>22.11.2013</t>
  </si>
  <si>
    <t>['Dam', 'Canal Network']</t>
  </si>
  <si>
    <t>Near Kinaye village</t>
  </si>
  <si>
    <t>15.79420360801706, 74.48409626573054</t>
  </si>
  <si>
    <t>Tubachi - Babaleshwar Lift Irrigation Scheme</t>
  </si>
  <si>
    <t>Krishna River</t>
  </si>
  <si>
    <t>['Vijayapur', 'Athani', 'Jamakhandi']</t>
  </si>
  <si>
    <t>28.02.2014</t>
  </si>
  <si>
    <t>21.07.2017</t>
  </si>
  <si>
    <t>head works</t>
  </si>
  <si>
    <t>head works, west main canal, east main canal, north main canal, south main canal, distributaries</t>
  </si>
  <si>
    <t>16.60908525256784, 75.26555065594523</t>
  </si>
  <si>
    <t>Basaveshwar (Kempwad) Lift Irrigation Scheme</t>
  </si>
  <si>
    <t>Hipparagi Barrage backwaters</t>
  </si>
  <si>
    <t>['Belagavi District']</t>
  </si>
  <si>
    <t>['Athani Taluk']</t>
  </si>
  <si>
    <t>Irrigation of drought-affected villages</t>
  </si>
  <si>
    <t>22.06.2016</t>
  </si>
  <si>
    <t>Hipparagi Barrage</t>
  </si>
  <si>
    <t>Proposed to irrigate 22 drought affected villages coming under northern part of Athani Taluk, near Ainapur village.</t>
  </si>
  <si>
    <t>16.759283053512963, 74.89678139852218</t>
  </si>
  <si>
    <t>Venkateshwar Lift Irrigation Scheme</t>
  </si>
  <si>
    <t>['Mudhol', 'Jamakhandi']</t>
  </si>
  <si>
    <t>12.02.2015</t>
  </si>
  <si>
    <t>Benefitting 10 villages (4 villages of Mudhol and 6 villages of Jamakhandi taluk).</t>
  </si>
  <si>
    <t>15.53282825122386, 79.95283410693416</t>
  </si>
  <si>
    <t>Improvements to Chikkodi Branch Canal</t>
  </si>
  <si>
    <t>To provide water to 11481 ha of land and facilitate irrigation to the subsequent command</t>
  </si>
  <si>
    <t>Chikkodi Branch Canal</t>
  </si>
  <si>
    <t>Chikkodi Branch Canal (88 km long, first 30 km being improved)</t>
  </si>
  <si>
    <t>The 88 km long Chikodi Branch Canal was completed in 1984 and irrigates 33403 ha of land. Improvements are to the first 30 km of the now dilapidated canal.</t>
  </si>
  <si>
    <t>16.42947614304262, 74.58781239217092</t>
  </si>
  <si>
    <t>Filling of 17 tanks of 10 villages and additional 22 tanks of Raibag taluk in Belgavi</t>
  </si>
  <si>
    <t>Tank Filling Scheme</t>
  </si>
  <si>
    <t>['Raibag']</t>
  </si>
  <si>
    <t>Solve the drinking water problem and assist in ground water recharge</t>
  </si>
  <si>
    <t>26.07.2017</t>
  </si>
  <si>
    <t>39 tanks</t>
  </si>
  <si>
    <t>Project involves filling 39 tanks (17 tanks of 10 villages and 22 additional tanks) to 50% of their storage capacity. The area faces severe stress for drinking water due to reduced inflow to tanks.</t>
  </si>
  <si>
    <t>16.493907682224865, 74.77419374318471</t>
  </si>
  <si>
    <t>Filling of 19 tanks of 10 villages of Kudachi constituency of Raibag taluk in Belagavi</t>
  </si>
  <si>
    <t>To solve the drinking water problem of the area by filling these tanks to 50% of their storage capacity and also assist in ground water recharge.</t>
  </si>
  <si>
    <t>27.04.2017</t>
  </si>
  <si>
    <t>19 tanks</t>
  </si>
  <si>
    <t>Project addresses severe drinking water stress in Bastwad, Kandal, Katakabhavi, Devapura hatti, Nidagundi, Savasudi, Moraba, Nilaji, Suttatti and Harogeri villages in Kudachi constituency, Raibag taluk, Belagavi district due to reduction in inflow to the tanks over the years.</t>
  </si>
  <si>
    <t>16.494236876936696, 74.77166173800092</t>
  </si>
  <si>
    <t>Kullahalli Hunnur LIS</t>
  </si>
  <si>
    <t>['Jamkhandi']</t>
  </si>
  <si>
    <t>to stabilise the suffering atchkat of 9163.63 Ha under the downstream of Jamakhandi branch canal Ch.20+650 (Maigur Chowki) and surrounding villages in Jamkhandi during the Khariff season</t>
  </si>
  <si>
    <t>21.12.2017</t>
  </si>
  <si>
    <t>['Jamakhandi branch canal']</t>
  </si>
  <si>
    <t>Jamakhandi branch canal starts at km 70 (Chimmad Chowki) of GLBC. The project is proposed to stabilise the suffering atchkat under the downstream of Jamakhandi branch canal Ch.20+650 (Maigur Chowki).</t>
  </si>
  <si>
    <t>16.526395608448315, 75.16410046513404</t>
  </si>
  <si>
    <t>Godchinamalki LIS</t>
  </si>
  <si>
    <t>['Ghataprabha River', 'Markandeya River']</t>
  </si>
  <si>
    <t>['Gokak taluk']</t>
  </si>
  <si>
    <t>08.01.2018</t>
  </si>
  <si>
    <t>Stage-I irrigates 1031.51 ha by lifting 0.191 TMC from Ghataprabha River. Stage-II irrigates 1537.91 ha by lifting 0.280 TMC from Markandeya River. A total of 12 villages are benefitted.</t>
  </si>
  <si>
    <t>16.132090447674646, 74.7303142394568</t>
  </si>
  <si>
    <t>Strengthening and raising of Galgali barrage</t>
  </si>
  <si>
    <t>Krishna</t>
  </si>
  <si>
    <t>['Bagalkot', 'Vijayapura']</t>
  </si>
  <si>
    <t>['Bilagi']</t>
  </si>
  <si>
    <t>Irrigation and Drinking Water Supply</t>
  </si>
  <si>
    <t>07.02.2018</t>
  </si>
  <si>
    <t>Galgali Bridge cum Barrage</t>
  </si>
  <si>
    <t>Barrage constructed in 1973. Original storage capacity 0.569 TMC. Target storage capacity 1.244 TMC.</t>
  </si>
  <si>
    <t>16.340483490618055, 75.6296681619161</t>
  </si>
  <si>
    <t>Kittur Tank Filling Scheme</t>
  </si>
  <si>
    <t>['Kittur', 'Bailhongal']</t>
  </si>
  <si>
    <t>Solve drinking water problem and assist in ground water recharge by filling tanks</t>
  </si>
  <si>
    <t>08.11.2017</t>
  </si>
  <si>
    <t>64 tanks</t>
  </si>
  <si>
    <t>Proposed to fill 64 tanks to 50% of their storage capacity due to reduction in inflow and severe stress for drinking water.</t>
  </si>
  <si>
    <t>15.598805568573184, 74.78881764023448</t>
  </si>
  <si>
    <t>Jalalpura (Old Diggewadi) bridge cum barrage</t>
  </si>
  <si>
    <t>Barrage Construction, Drinking Water Scheme</t>
  </si>
  <si>
    <t>Other Regions</t>
  </si>
  <si>
    <t>['Belgavi']</t>
  </si>
  <si>
    <t>['Raibag', 'Chikkodi']</t>
  </si>
  <si>
    <t>provide drinking water facility, provide communication</t>
  </si>
  <si>
    <t>17.10.2019</t>
  </si>
  <si>
    <t>bridge cum barrage</t>
  </si>
  <si>
    <t>Store 0.176 TMC of water to provide drinking water facility to 16 villages of Raibag and Chikkodi taluk. The bridge cum barrage will also assist in daily activities of the villagers.</t>
  </si>
  <si>
    <t>13.69143567745923, 76.96261758207405</t>
  </si>
  <si>
    <t>Ghatti-Basavanna Drinking Water Scheme</t>
  </si>
  <si>
    <t>Drinking Water Scheme</t>
  </si>
  <si>
    <t>Markandeya River</t>
  </si>
  <si>
    <t>['Hukkeri', 'Bailahongal', 'Savadatti']</t>
  </si>
  <si>
    <t>['Drinking water supply', 'Tank filling', 'Industrial water supply', 'Flood management']</t>
  </si>
  <si>
    <t>24.11.2020</t>
  </si>
  <si>
    <t>['Dam on Markandeya River']</t>
  </si>
  <si>
    <t>The scheme proposes to store a total of 5.96 TMC, including 2.76 TMC for drinking water requirements of Gokak and surrounding 131 villages. The dam is to be constructed downstream of the confluence of Markandeya and Ballari Nala.</t>
  </si>
  <si>
    <t>16.159074024244315, 74.81406186736957</t>
  </si>
  <si>
    <t>Sri Adavisiddeshwara Lift Irrigation Scheme</t>
  </si>
  <si>
    <t>Hiranyakeshi River</t>
  </si>
  <si>
    <t>['Hukkeri']</t>
  </si>
  <si>
    <t>irrigation facility</t>
  </si>
  <si>
    <t>20.11.2020</t>
  </si>
  <si>
    <t>delivery chamber at Gajabarwadi</t>
  </si>
  <si>
    <t>16.215847073049098, 74.35701895323307</t>
  </si>
  <si>
    <t>Sri Shankarlinga Lift Irrigation Scheme</t>
  </si>
  <si>
    <t>06.03.2021</t>
  </si>
  <si>
    <t>Proposed to lift water near Kochari village. Benefits Jabapura, Nerli, Masaraguppi and Arjunwad villages.</t>
  </si>
  <si>
    <t>Sasalatti-Shivalingeshwara Lift Irrigation Scheme-1</t>
  </si>
  <si>
    <t>['Bagalkote']</t>
  </si>
  <si>
    <t>['Jamakhandi', 'Mudhol', 'Bilagi', 'Rabakavi-Banahatti']</t>
  </si>
  <si>
    <t>providing irrigation facility</t>
  </si>
  <si>
    <t>29.01.2022</t>
  </si>
  <si>
    <t>['Ghataprabha left bank canal (GLBC km 63.00 to 103.00)']</t>
  </si>
  <si>
    <t>Water is lifted from Krishna River near Halingali village to provide irrigation to suffering atchkat.</t>
  </si>
  <si>
    <t>16.56499574461871, 75.18125584984489</t>
  </si>
  <si>
    <t>Sasalatti-Shivalingeshwara Lift Irrigation Scheme-2</t>
  </si>
  <si>
    <t>Yet to Start</t>
  </si>
  <si>
    <t>['Rabakavi-Banahatti']</t>
  </si>
  <si>
    <t>Providing irrigation facility</t>
  </si>
  <si>
    <t>01.12.2022</t>
  </si>
  <si>
    <t>Ghataprabha left bank canal (GLBC km 52.00 to 63.00)</t>
  </si>
  <si>
    <t>Designed for providing irrigation facility to suffering atchkat of Ghataprabha left bank canal (GLBC km 52.00 to 63.00) by lifting water near Halingali village. Tender process for the first phase of the work has been completed and the work is yet to be started. Action is being taken to invite tenders for the second stage.</t>
  </si>
  <si>
    <t>16.60382792571113, 77.51735261075419</t>
  </si>
  <si>
    <t>Mantur-Mahalakshmi Lift Irrigation Scheme</t>
  </si>
  <si>
    <t>['Mudhol', 'Bilagi']</t>
  </si>
  <si>
    <t>Ghataprabha left bank canal (GLBC km 103.00 to 109.00)</t>
  </si>
  <si>
    <t>16.744491800152776, 74.76937110409536</t>
  </si>
  <si>
    <t>Kallol Yadur bridge cum barrage</t>
  </si>
  <si>
    <t>Barrage Construction</t>
  </si>
  <si>
    <t>['Chikodi']</t>
  </si>
  <si>
    <t>Irrigation and drinking water requirements</t>
  </si>
  <si>
    <t>04.02.2022</t>
  </si>
  <si>
    <t>Bridge cum barrage (155.00m long, 62 vents)</t>
  </si>
  <si>
    <t>Original bridge cum barrage constructed during 1981-82. Located downstream of the confluence of Krishna River, Doodhganga and Vedaganga River. Currently in dilapidated state, hence reconstruction is required.</t>
  </si>
  <si>
    <t>16.428529390594104, 74.5884132069603</t>
  </si>
  <si>
    <t>Shirur LIS</t>
  </si>
  <si>
    <t>Tender Process</t>
  </si>
  <si>
    <t>Ghataprabha River</t>
  </si>
  <si>
    <t>['Bagalkote District']</t>
  </si>
  <si>
    <t>['Badami', 'Bagalkote']</t>
  </si>
  <si>
    <t>Provide irrigation to suffering atchkat</t>
  </si>
  <si>
    <t>03.08.2022</t>
  </si>
  <si>
    <t>Lift irrigation system (pumping station, pipelines)</t>
  </si>
  <si>
    <t>Ghataprabha Right Bank Canal</t>
  </si>
  <si>
    <t>Project designed to provide irrigation to atchkat coming under km 182.560 to km 199.093 of Ghataprabha Right Bank Canal. Water lifted from Ghataprabha River near Mallapmar village in Bagalkote Taluka. Tender process for the first phase of the work has been completed and the work is yet to be started. Action being taken to invite tenders for second stage.</t>
  </si>
  <si>
    <t>18.825138283636623, 74.37752721073652</t>
  </si>
  <si>
    <t>Anwal LIS</t>
  </si>
  <si>
    <t>25.08.2022</t>
  </si>
  <si>
    <t>Lift system near Devnal village</t>
  </si>
  <si>
    <t>['Kaladgi distributary', 'Anwal Distributary', 'Ghataprabha Right Bank Canal']</t>
  </si>
  <si>
    <t>Designed to provide irrigation to suffering atchkat. Tender process for the first phase of the work has been completed and the work is yet to be started. Action being taken to invite tenders for second stage.</t>
  </si>
  <si>
    <t>16.205299182891828, 75.50163179481562</t>
  </si>
  <si>
    <t>Kagawad TFS</t>
  </si>
  <si>
    <t>['Kagawad Taluk']</t>
  </si>
  <si>
    <t>Solve the drinking water problem by filling tanks to 50% of their storage capacity and assist in ground water recharge.</t>
  </si>
  <si>
    <t>04.11.2022</t>
  </si>
  <si>
    <t>23 tanks</t>
  </si>
  <si>
    <t>The region does not have a perennial river and has experienced reduction in inflow to tanks, leading to severe stress for drinking water. Tender process for the first phase of work has been completed, but work is yet to be started. Action is being taken to invite tenders for the second stage.</t>
  </si>
  <si>
    <t>16.69411974654307, 74.72233848981406</t>
  </si>
  <si>
    <t>Ammajeshwari (Kottalgi) LIS</t>
  </si>
  <si>
    <t>['Athani']</t>
  </si>
  <si>
    <t>13.01.2023</t>
  </si>
  <si>
    <t>Lift Irrigation System</t>
  </si>
  <si>
    <t>The villages in south east part of Athani taluk are on higher elevation and deprived from irrigation from Hipparagi and Tubachi-Bableshwar LIS. Severe stress for drinking water due to reduced tank inflow and alarming ground water depths. Beneficiary villages: Telsang, Kilaradaddi, Bhosalewadi, Kannal, Bannur, Kakamari and Kottalgi. Tender process for the first phase completed, work yet to start. Action being taken to invite tenders for second stage.</t>
  </si>
  <si>
    <t>16.726748138740533, 75.06118479036815</t>
  </si>
  <si>
    <t>Arabhavi Tank Filling Scheme</t>
  </si>
  <si>
    <t>To solve the drinking water problem of the area by filling 20 tanks to 50% of their storage capacity and also assist in ground water recharge.</t>
  </si>
  <si>
    <t>10.01.2023</t>
  </si>
  <si>
    <t>20 tanks</t>
  </si>
  <si>
    <t>Proposed to fill 20 tanks of Arabhavi Constituency. Severe stress for drinking water due to reduction in inflow. Tender process for the first phase of the work has been completed and the work is yet to be started. Action being taken to invite tenders for second stage.</t>
  </si>
  <si>
    <t>16.221308835082002, 74.82316027190794</t>
  </si>
  <si>
    <t>Melligeri-Halagali LIS</t>
  </si>
  <si>
    <t>Provide irrigation to left out area during Khariff season</t>
  </si>
  <si>
    <t>['Galgali Barrage']</t>
  </si>
  <si>
    <t>['Ghataprabha Left Bank Canal']</t>
  </si>
  <si>
    <t>Designed to provide irrigation to left out area during Khariff season. Water lifted from Krishna River downstream of Galgali Barrage. Tender process for the first phase of the work has been completed and the work is yet to be started. Action being taken to invite tenders for second stage.</t>
  </si>
  <si>
    <t>16.326731143863196, 75.2602991178786</t>
  </si>
  <si>
    <t>Sri Channavrushabendra LIS</t>
  </si>
  <si>
    <t>['Bailhongala', 'Savadatti']</t>
  </si>
  <si>
    <t>provide irrigation facility</t>
  </si>
  <si>
    <t>Proposed to lift water from right bank of Markandeya River near Paschapur village of Chikkodi Taluk. Provides irrigation facility to 31 villages. Tender process for the first phase of the work is under progress, and action is being taken to invite tenders for the second stage.</t>
  </si>
  <si>
    <t>16.359764121226394, 75.42533367699858</t>
  </si>
  <si>
    <t>Mahalakshmi LIS</t>
  </si>
  <si>
    <t>Dudhganga River</t>
  </si>
  <si>
    <t>['Chikkodi taluk']</t>
  </si>
  <si>
    <t>Provide irrigation facility to address reduction in crop yield due to reduced rainfall.</t>
  </si>
  <si>
    <t>Kalol-Yediyur barrage</t>
  </si>
  <si>
    <t>Farmers facing severe reduction in yield in Khariff crops due to reduction in rainfall. Tender process for the first phase completed, work yet to be started. Action being taken to invite tenders for second stage.</t>
  </si>
  <si>
    <t>16.559511361419876, 74.4461024570623</t>
  </si>
  <si>
    <t>Mareguddi LIS</t>
  </si>
  <si>
    <t>['Lift Irrigation Scheme', 'Drinking Water Scheme', 'Tank Filling Scheme']</t>
  </si>
  <si>
    <t>['Jamkhandi', 'Mudhol']</t>
  </si>
  <si>
    <t>To provide irrigation facility, solve drinking water problem, and assist in ground water recharge.</t>
  </si>
  <si>
    <t>23.02.2023</t>
  </si>
  <si>
    <t>['Galgali barrage', '5 tanks', '31 check dams']</t>
  </si>
  <si>
    <t>The land in Jamkhandi Taluka is fertile but falls under low rainfall area and lacks sufficient irrigation facility. The DPR of the project is administratively approved.</t>
  </si>
  <si>
    <t>16.425100094464558, 75.339212128934</t>
  </si>
  <si>
    <t>Kadarkoppa LIS</t>
  </si>
  <si>
    <t>27.03.2023</t>
  </si>
  <si>
    <t>Lift system/Pumping station</t>
  </si>
  <si>
    <t>['Ghataprabha Right Bank Canal']</t>
  </si>
  <si>
    <t>Designed to provide irrigation to atchkat under km 139.00 to km 145.00 of Ghataprabha Right Bank Canal. Water supplied to Ghataprabha Right Bank Canal near Kadarkoppa village. Estimate and DTP for the work is under preparation.</t>
  </si>
  <si>
    <t>16.133879432414318, 75.41307444614283</t>
  </si>
  <si>
    <t>Kargaon LIS</t>
  </si>
  <si>
    <t>['Chikkodi']</t>
  </si>
  <si>
    <t>To irrigate 8390 ha of area in Khariff season in 14 villages of Chikkodi taluk on the left side of Chikkodi branch canal.</t>
  </si>
  <si>
    <t>14.03.2023</t>
  </si>
  <si>
    <t>['Chikkodi branch canal']</t>
  </si>
  <si>
    <t>The project aims to irrigate the left side of the Chikkodi branch canal, which was previously unirrigated despite fertile land. Water will be lifted from Krishna River near Kallol village of Chikkodi taluka during monsoon season. Estimate and DTP for the first phase work is under preparation.</t>
  </si>
  <si>
    <t>16.336788142266094, 74.6333993223032</t>
  </si>
  <si>
    <t>Flood management works from downstream of Gokak falls to Lolsur Bridge near NH-31, Floor protection works to protect Gokak town and nearby villages from the floods of Ghataprabha River and River front development works</t>
  </si>
  <si>
    <t>Flood Management</t>
  </si>
  <si>
    <t>['Gokak']</t>
  </si>
  <si>
    <t>To protect Gokak town and nearby villages from the floods of Ghataprabha River during monsoon season and to promote tourism in and around Gokak.</t>
  </si>
  <si>
    <t>Tender process for the first phase of the work is under progress.</t>
  </si>
  <si>
    <t>16.339847875005827, 75.25789491743272</t>
  </si>
  <si>
    <t>Uchagaon and Santibastavad Tank Filling Scheme</t>
  </si>
  <si>
    <t>Malaprabha and Markandeya River</t>
  </si>
  <si>
    <t>To solve the drinking water problem of the area and assist in ground water recharge by filling tanks.</t>
  </si>
  <si>
    <t>12.02.2024</t>
  </si>
  <si>
    <t>Reservoir</t>
  </si>
  <si>
    <t>Proposed to fill 12 tanks in Uchagaon Hobli and 08 tanks in Santibastavad village to 50% of their storage capacity. Provides drinking water facility for 09 villages. Tender has been invited.</t>
  </si>
  <si>
    <t>16.16340195325057, 74.79506869083316</t>
  </si>
  <si>
    <t>Modernisation of Malaprabha Main Canal and Distributaries</t>
  </si>
  <si>
    <t>Malaprabha river</t>
  </si>
  <si>
    <t>['Belagavi', 'Dharwad', 'Gadag', 'Bagalkot']</t>
  </si>
  <si>
    <t>['Saundatti']</t>
  </si>
  <si>
    <t>Provide irrigation facility and ensure efficient water supply to tail end areas.</t>
  </si>
  <si>
    <t>17.08.2017</t>
  </si>
  <si>
    <t>30.10.2019</t>
  </si>
  <si>
    <t>['Dam (across Malaprabha river)']</t>
  </si>
  <si>
    <t>['Malaprabha Main Canal', 'Distributaries', 'Sub Distributaries']</t>
  </si>
  <si>
    <t>The Malaprabha main canal and distributaries were constructed 35 years ago and had dilapidated in reaches, making it difficult to provide water to the tail end, necessitating modernization.</t>
  </si>
  <si>
    <t>15.769593344316664, 74.90200465009922</t>
  </si>
  <si>
    <t>Kalasa Nala and Bandura Nala Diverstion Project</t>
  </si>
  <si>
    <t>Drinking Water Scheme, Diversion Project, Lift Irrigation Scheme</t>
  </si>
  <si>
    <t>Kalasa Nala, Bandura Nala, Haltara Nala, Surla Nala</t>
  </si>
  <si>
    <t>Drinking Water Supply</t>
  </si>
  <si>
    <t>low elevation diversion dams, jackwell, rising main, pump house</t>
  </si>
  <si>
    <t>The Mahadayi Tribunal gave its final verdict on 14.08.2018. The Central Government issued a Special Gazette Notification dated 27.02.2020 regarding the final judgment. Detailed Project Reports (DPRs) for the said projects were approved by the Central Water Commission on 29.12.2022. The administrative approval amount of Rs. 995.30 crore is specifically for the Kalasa Nala Diversion Scheme. The Bandura Nala Diversion Project also received administrative approval on 27.03.2023, but no specific amount was mentioned for it. Water allocation includes 1.72 TMC released under Kalasa Nala Diversion Project and 2.18 TMC to be allocated under drinking water sharing and Bandura Nala diversion project for the state of Karnataka.</t>
  </si>
  <si>
    <t>15.493663227505415, 74.04845651630018</t>
  </si>
  <si>
    <t>Shiggaon Lift Irrigation Scheme</t>
  </si>
  <si>
    <t>Dedicated to Nation</t>
  </si>
  <si>
    <t>Central Karnataka</t>
  </si>
  <si>
    <t>['Haveri']</t>
  </si>
  <si>
    <t>['Shiggaon', 'Savanur', 'Hanagal']</t>
  </si>
  <si>
    <t>Irrigation, Drinking water supply, Tank filling</t>
  </si>
  <si>
    <t>Sprinkler irrigation system, Drip irrigation system, 18 tanks, 39 tanks</t>
  </si>
  <si>
    <t>Sprinkler irrigation system for 9900 ha is completed. Estimates are under preparation for providing drip irrigation to the balance area of 3600 ha adopting Madhya Pradesh model. The scheme of filling 18 and 39 tanks under this project is completed.</t>
  </si>
  <si>
    <t>15.436303545147702, 75.02803653873917</t>
  </si>
  <si>
    <t>Savanur Lift Irrigation Scheme</t>
  </si>
  <si>
    <t>Varada River</t>
  </si>
  <si>
    <t>['Savanur taluk']</t>
  </si>
  <si>
    <t>Irrigation and tank filling</t>
  </si>
  <si>
    <t>9 tanks, 39 additional tanks</t>
  </si>
  <si>
    <t>Proposed to irrigate 15500 ha in 30 villages of Savanur taluk and filling of 09 tanks. Works of filling of 9 tanks and 39 additional tanks are completed. Estimates are under preparation for providing drip irrigation to 3600 ha adopting Madhya Pradesh model. Water lifted from Varada River near Kalasuru village.</t>
  </si>
  <si>
    <t>14.481721611776308, 75.00990765437567</t>
  </si>
  <si>
    <t>Modernisation of Kolachi Right Bank Canal</t>
  </si>
  <si>
    <t>Malaprabha River</t>
  </si>
  <si>
    <t>['Ramadurga']</t>
  </si>
  <si>
    <t>27.04.2015</t>
  </si>
  <si>
    <t>Kolachi Wier</t>
  </si>
  <si>
    <t>[{'name': 'Kolachi Right Bank Canal', 'length_km': 49}]</t>
  </si>
  <si>
    <t>The original project was completed long before. Modernization works are taken up in 05 packages, and 04 package works are completed.</t>
  </si>
  <si>
    <t>15.93681686710636, 75.35125965408771</t>
  </si>
  <si>
    <t xml:space="preserve"> Filling of tanks from Tuparihalla</t>
  </si>
  <si>
    <t>Tuparihalla</t>
  </si>
  <si>
    <t>['Dharwad']</t>
  </si>
  <si>
    <t>Filling MI tanks</t>
  </si>
  <si>
    <t>30.03.2017</t>
  </si>
  <si>
    <t>MI tanks of Tadakoda, Bhokyapura, Garaga, Halethegooru, Bogooru and Neeralakatti villages</t>
  </si>
  <si>
    <t>The DPR of the project is administratively approved.</t>
  </si>
  <si>
    <t>15.580785296278908, 74.92548408291866</t>
  </si>
  <si>
    <t xml:space="preserve"> Filling of tanks and bandharas of Haliyala taluk of Uttara Kannada</t>
  </si>
  <si>
    <t>Kali River</t>
  </si>
  <si>
    <t>['Uttara Kannada']</t>
  </si>
  <si>
    <t>['Haliyal']</t>
  </si>
  <si>
    <t>to provide irrigation to the farmers during summer and to provide drinking water to people and cattle during January to June and to replenish ground water level</t>
  </si>
  <si>
    <t>29.06.2017</t>
  </si>
  <si>
    <t>46 tanks and 19 barrages</t>
  </si>
  <si>
    <t>14.873971566853449, 74.24205471766253</t>
  </si>
  <si>
    <t>Filling of MI tanks of Kalaghatagi taluk in Dharwad district from Bedti river</t>
  </si>
  <si>
    <t>['Tank Filling Scheme', 'Lift Irrigation Scheme', 'Drinking Water Scheme']</t>
  </si>
  <si>
    <t>Bedti river</t>
  </si>
  <si>
    <t>['Kalaghatagi']</t>
  </si>
  <si>
    <t>to provide irrigation, provide drinking water to people and cattle around the tanks, to replenish ground water level and to facilitate agricultural activities</t>
  </si>
  <si>
    <t>barrage across the river Bedti near Belavantara village</t>
  </si>
  <si>
    <t>It is proposed to fill 35 tanks of Kalaghatagi taluk to 50% of their total storage capacity.</t>
  </si>
  <si>
    <t>14.902044386295255, 74.79146179448779</t>
  </si>
  <si>
    <t>Filling of 129 tanks in Mundgod taluk</t>
  </si>
  <si>
    <t>Bedthi River</t>
  </si>
  <si>
    <t>['Uttara Kannada District']</t>
  </si>
  <si>
    <t>['Mundgod taluk']</t>
  </si>
  <si>
    <t>To fill tanks in drought prone areas</t>
  </si>
  <si>
    <t>08.03.2018</t>
  </si>
  <si>
    <t>129 MI tanks</t>
  </si>
  <si>
    <t>Tanks to be filled upto 50% of its capacity.</t>
  </si>
  <si>
    <t>14.89412578624326, 74.78872916808659</t>
  </si>
  <si>
    <t>Filling of 84 tanks in Mundgod taluk</t>
  </si>
  <si>
    <t>['Uttar Kannada']</t>
  </si>
  <si>
    <t>['Mundgod']</t>
  </si>
  <si>
    <t>To solve the drinking water problem of the area by filling tanks to 50% of their storage capacity and assist in ground water recharge.</t>
  </si>
  <si>
    <t>08.11.2019</t>
  </si>
  <si>
    <t>84 MI / ZP tanks</t>
  </si>
  <si>
    <t>Kavalagi halla (distributary)</t>
  </si>
  <si>
    <t>Project proposes to fill 84 MI / ZP tanks in 05 Gram Panchayats (Malagi, Phala, Katturu, Khodambi and Onnikeri). Severe stress for drinking water due to reduction in inflow to tanks over the years.</t>
  </si>
  <si>
    <t>14.89674213454341, 74.78390233443622</t>
  </si>
  <si>
    <t>Bagewadi Tank Filling Scheme</t>
  </si>
  <si>
    <t>fill 62 nos of Tanks and provide bulk water supply for 47 villages</t>
  </si>
  <si>
    <t>16.01.2019</t>
  </si>
  <si>
    <t>['Impounding Reservoir']</t>
  </si>
  <si>
    <t>Due to non-availability of land for Impounding Reservoir the design of the project has been altered.</t>
  </si>
  <si>
    <t>16.159448059293116, 74.79148378689973</t>
  </si>
  <si>
    <t>Hingaraga Tank Filling Scheme</t>
  </si>
  <si>
    <t>Solve drinking water problem and assist in ground water recharge by filling tanks to 50% of their storage capacity</t>
  </si>
  <si>
    <t>03.10.2019</t>
  </si>
  <si>
    <t>13 tanks</t>
  </si>
  <si>
    <t>Due to reduction in inflow over the years to 13 tanks in Hingaragi Hobli of Belagavi taluk, there is a severe stress for drinking water in the area.</t>
  </si>
  <si>
    <t>16.167168539092145, 74.80358808902484</t>
  </si>
  <si>
    <t xml:space="preserve"> Construction of Retaining wall near Hampihole village in Ramdurga Taluk</t>
  </si>
  <si>
    <t>['Ramdurga Taluk']</t>
  </si>
  <si>
    <t>To protect the people and livestock of Hampihole, Avaradi, Maradgi and Sureban villages from the floods of Malaprabha River</t>
  </si>
  <si>
    <t>16.06.2021</t>
  </si>
  <si>
    <t>Retaining wall</t>
  </si>
  <si>
    <t>Beneficiary villages: Hampihole, Avaradi, Maradgi, Sureban. DPR administratively approved.</t>
  </si>
  <si>
    <t>16.159561413702463, 74.79138722738</t>
  </si>
  <si>
    <t>Sri Veerabhadreshwar Lift Irrigation Scheme</t>
  </si>
  <si>
    <t>['Mudhol', 'Ramdurga']</t>
  </si>
  <si>
    <t>21.01.2015</t>
  </si>
  <si>
    <t>10 minor tanks</t>
  </si>
  <si>
    <t>16.34643688180103, 75.24553529890831</t>
  </si>
  <si>
    <t>Salapura LIS</t>
  </si>
  <si>
    <t>['Bagalkot']</t>
  </si>
  <si>
    <t>['Ramadurga', 'Badami', 'Mudhol']</t>
  </si>
  <si>
    <t>To irrigate land deprived from irrigation by Rameshwara &amp; Veerabhadreshwara LIS</t>
  </si>
  <si>
    <t>07.03.2018</t>
  </si>
  <si>
    <t>Works to be taken up in two stages (Rs.327.00 crores &amp; Rs.239.00 crores). Water is lifted near Chikkur Thanda of Mudhol taluk. Irrigates 10878 ha from 19 villages of Ramadurga taluk, 1832 ha from 6 villages of Badami taluk, and 290 ha from 2 villages of Mudhol taluk.</t>
  </si>
  <si>
    <t>16.320079521997837, 75.24690858985547</t>
  </si>
  <si>
    <t>Replacement of PSC pipes in 7 LIS s in Nargund Constituency</t>
  </si>
  <si>
    <t>Bennehalla and Malaprabha</t>
  </si>
  <si>
    <t>['Nargund']</t>
  </si>
  <si>
    <t>To provide irrigation to the designate atchkat by replacing dilapidated PSC pipes</t>
  </si>
  <si>
    <t>19.08.2022</t>
  </si>
  <si>
    <t>PSC pipes</t>
  </si>
  <si>
    <t>The scheme proposes to replace dilapidated PSC pipes in Banahatti, Kurlageri, Surkod, Khanapura, Raddernagnur, Kolachi and Konnur LIS. These LIS are constructed across Bennehalla and Malaprabha. The dilapidated pipes have prevented irrigation to the designated atchkat.</t>
  </si>
  <si>
    <t>15.681300129989973, 75.47528724053119</t>
  </si>
  <si>
    <t>Tuparihalla Flood protection works</t>
  </si>
  <si>
    <t>To protect the villages and farmlands around the Tuparihalla by taking up flood management &amp; flood protection works.</t>
  </si>
  <si>
    <t>19.03.2022</t>
  </si>
  <si>
    <t>Chikkahalla, Kallahalla, Bannihalla, Hunasikattehalla and Gadnyahalla are some of the major tributaries of the total 49 tributaries of Tuparihalla. The area around gets flooded every year due to unseasonal rains. Works of first phase are under progress.</t>
  </si>
  <si>
    <t>15.580919645775946, 74.92517294668845</t>
  </si>
  <si>
    <t>Sattigeri LIS</t>
  </si>
  <si>
    <t>['Savadatti taluk']</t>
  </si>
  <si>
    <t>12.01.2023</t>
  </si>
  <si>
    <t>The farmers of Savadatti taluk, Belagavi District rely on rainfall for growing their crops. Due to reduction in rainfall in recent years, the farmers in Savadatti taluk, Belagavi District are facing severe reduction in yield of crops and are requesting to provide irrigation facility to their lands. Water is lifted from Ghataprabha River near Talkatnal village of Gokak Taluk.</t>
  </si>
  <si>
    <t>16.350390179209732, 75.24141542606684</t>
  </si>
  <si>
    <t>Kiravatti TFS</t>
  </si>
  <si>
    <t>['Uttarakannada']</t>
  </si>
  <si>
    <t>['Yallapura', 'Mundgod']</t>
  </si>
  <si>
    <t>Solve the drinking water problem by filling tanks to 50% of their storage capacity and assist in ground water recharge</t>
  </si>
  <si>
    <t>Lifting water from Bedthi River near Banksali village (near Shidlagundi bridge) to fill 100 tanks</t>
  </si>
  <si>
    <t>Tanks in the area are not getting filled due to streams and tanks located in ridges and reduction in inflow due to development works in catchment, leading to severe stress for drinking water. The project aims to fill 100 tanks in the region.</t>
  </si>
  <si>
    <t>14.897443640085696, 74.78460929524513</t>
  </si>
  <si>
    <t>Amruth Sarovara Project</t>
  </si>
  <si>
    <t>['Hubli', 'Dharwad']</t>
  </si>
  <si>
    <t>['Annigeri', 'Navalagunda', 'Kundagola', 'Hubbali', 'Dharwad', 'Alnawara', 'Kalghatgi']</t>
  </si>
  <si>
    <t>Rejuvenate and undertake comprehensive development of tanks to mitigate severe stress on drinking water in the region.</t>
  </si>
  <si>
    <t>tanks</t>
  </si>
  <si>
    <t>Project falls under Hubli-Dharwad Parlimentary Constituency.</t>
  </si>
  <si>
    <t>14.994408424388403, 75.91295604963983</t>
  </si>
  <si>
    <t>Upper Tunga Project</t>
  </si>
  <si>
    <t>Irrigation Scheme</t>
  </si>
  <si>
    <t>Tunga River</t>
  </si>
  <si>
    <t>['Davanagere', 'Shivamogga', 'Haveri']</t>
  </si>
  <si>
    <t>['Shimoga ']</t>
  </si>
  <si>
    <t>Provide irrigation facilities</t>
  </si>
  <si>
    <t>30.10.1992</t>
  </si>
  <si>
    <t>16.03.2023</t>
  </si>
  <si>
    <t>['New Dam across Tunga River', 'Existing Tunga Anicut']</t>
  </si>
  <si>
    <t>[{'name': 'Upper Tunga Main Canal', 'length_km': 258.0, 'status': 'Completed'}, {'name': 'Distributaries (5 out of 6)', 'status': 'Completed'}, {'name': 'Distributary-6 (Dy-6)', 'status': 'Nearing Completion'}]</t>
  </si>
  <si>
    <t>13.712202364678397, 75.40466322873587</t>
  </si>
  <si>
    <t>Modernisation of Tunga Anicut</t>
  </si>
  <si>
    <t>Tunga</t>
  </si>
  <si>
    <t>28.06.2012</t>
  </si>
  <si>
    <t>Tunga Anicut</t>
  </si>
  <si>
    <t>left &amp; right bank canal of Tunga Anicut</t>
  </si>
  <si>
    <t>The works are taken up in two packages.</t>
  </si>
  <si>
    <t>13.740217849628268, 75.40740981063018</t>
  </si>
  <si>
    <t>Sasvehalli Tank Filling Scheme</t>
  </si>
  <si>
    <t>Coastal &amp; Malnad</t>
  </si>
  <si>
    <t>Tungabhadra River</t>
  </si>
  <si>
    <t>['Davanagere', 'Shivamogga', 'Chitradurga']</t>
  </si>
  <si>
    <t>['Channagiri', 'Davanagere', 'Honnali', 'Shivamogga', 'Chitradurga', 'Holalkere']</t>
  </si>
  <si>
    <t>Tank Filling</t>
  </si>
  <si>
    <t>11.01.2017</t>
  </si>
  <si>
    <t>['Sasvehalli Lift Irrigation Scheme (LIS)', 'Shantisagara tank', '92 tanks']</t>
  </si>
  <si>
    <t>The project is executed in 2 stages. Stage 1 fills 43 tanks (27 in Channagiri taluk, 11 in Davanagere taluk, 4 in Honnali constituency, 1 in Shivamogga rural constituency) from Tungabhadra River. Stage 2 lifts water from Shantisagara tank to fill 49 tanks (24 in Channagiri taluk, 19 in Davanagere taluk, 3 in Chitradurga taluk, 3 in Holalkere constituency).</t>
  </si>
  <si>
    <t>15.470031221805687, 76.68239337914815</t>
  </si>
  <si>
    <t>Augmentation of Sasvehalli Tank Filling Scheme</t>
  </si>
  <si>
    <t>To make good the shortfall in water requirement for filling up the tanks due to variation in tank capacity.</t>
  </si>
  <si>
    <t>25.06.2021</t>
  </si>
  <si>
    <t>additional rising main parallel to the existing rising main</t>
  </si>
  <si>
    <t>Scheme addresses shortfall in water requirement for tank filling due to variation in tank capacity.</t>
  </si>
  <si>
    <t>14.153314887561413, 75.71407195829558</t>
  </si>
  <si>
    <t>Kachavi Tank Filling Scheme</t>
  </si>
  <si>
    <t>['Shivamogga']</t>
  </si>
  <si>
    <t>['Soraba']</t>
  </si>
  <si>
    <t>Augment scarcity of water in 11 villages by feeding 21 tanks</t>
  </si>
  <si>
    <t>18.12.2012</t>
  </si>
  <si>
    <t>Kachavi Tank, Lift system</t>
  </si>
  <si>
    <t>Benefits 11 villages by feeding 21 tanks.</t>
  </si>
  <si>
    <t>14.587005302135303, 75.25336972725162</t>
  </si>
  <si>
    <t>Development of Kanaka Sarovara (Doddakere) in Kaginele village</t>
  </si>
  <si>
    <t>Comprehensive development of the tank for recreational and cultural purposes</t>
  </si>
  <si>
    <t>tank bund, island, park, musical fountain, pathway</t>
  </si>
  <si>
    <t>The Kanaka Sarovara (Doddakere) is spread over an area of about 280 acres. It is believed that the saint poet Kanakadasa used to worship Sri Adikeshava after taking a dip in this lake.</t>
  </si>
  <si>
    <t>14.699672802161682, 75.34477934229636</t>
  </si>
  <si>
    <t>Varahi Irrigation Project</t>
  </si>
  <si>
    <t>Varahi River</t>
  </si>
  <si>
    <t>['Udupi']</t>
  </si>
  <si>
    <t>['Kundapur', 'Udupi']</t>
  </si>
  <si>
    <t>27.03.1979</t>
  </si>
  <si>
    <t>20.03.2006</t>
  </si>
  <si>
    <t>['diversion weir', 'aqueduct']</t>
  </si>
  <si>
    <t>[{'name': 'common canal', 'status': 'completed'}, {'name': 'Varahi left bank canal km 0.00 to 30.00', 'status': 'completed'}, {'name': 'Varahi left bank canal km 30.00 to 38.00', 'status': 'nearing completion'}, {'name': 'Varahi left bank canal km 38.00 to 44.35', 'status': 'under progress'}, {'name': 'Varahi right bank canal', 'status': 'yet to start'}]</t>
  </si>
  <si>
    <t>13.658497954782174, 74.94868452577879</t>
  </si>
  <si>
    <t>Filling of 50 tanks in Harapanahalli taluk</t>
  </si>
  <si>
    <t>Tungabhadra</t>
  </si>
  <si>
    <t>['Harapanahalli']</t>
  </si>
  <si>
    <t>To lift water from Tungabhadra to fill 50 tanks in drought-prone Harapanahalli taluk</t>
  </si>
  <si>
    <t>11.07.2017</t>
  </si>
  <si>
    <t>50 tanks</t>
  </si>
  <si>
    <t>Project aims to fill tanks in drought-prone Harapanahalli taluk.</t>
  </si>
  <si>
    <t>14.780604907075245, 75.98557448596836</t>
  </si>
  <si>
    <t>Madluru Tank Filling Scheme</t>
  </si>
  <si>
    <t>Varada</t>
  </si>
  <si>
    <t>['Hirekerur', 'Byadagi', 'Hanagal']</t>
  </si>
  <si>
    <t>filling 13 tanks of Hirekerur taluk and 2 tanks of Byadagi taluk in Haveri district to 50% of their capacity</t>
  </si>
  <si>
    <t>19.10.2017</t>
  </si>
  <si>
    <t>['Jackwell', 'Pumphouse', 'Honkana barrage']</t>
  </si>
  <si>
    <t>Project envisages filling 13 tanks of Hirekerur taluk and 2 tanks of Byadagi taluk in Haveri district to 50% of their capacity by lifting water from the river Varada. Jackwell and Pumphouse constructed at the upper part of Honkana barrage near Thiluvalli village of Hanagal taluk.</t>
  </si>
  <si>
    <t>15.044212295350246, 75.74832236912111</t>
  </si>
  <si>
    <t>Filling of 17 tanks in Asundi and adjoining areas</t>
  </si>
  <si>
    <t>Lift Irrigation Scheme, Tank Filling Scheme</t>
  </si>
  <si>
    <t>Kumadwathi River</t>
  </si>
  <si>
    <t>['Ranebennur', 'Byadagi', 'Hirekerur']</t>
  </si>
  <si>
    <t>14.12.2017</t>
  </si>
  <si>
    <t>Asundi LIS, 17 tanks</t>
  </si>
  <si>
    <t>15.746513572020065, 75.02243754847505</t>
  </si>
  <si>
    <t>Filling of 32 tanks of Banavasi Hobli in Sirsi taluk, Uttar Kannada district</t>
  </si>
  <si>
    <t>['Sirsi']</t>
  </si>
  <si>
    <t>To fill 32 tanks to address water shortage for dependent farmers and due to dry borewells</t>
  </si>
  <si>
    <t>26.12.2017</t>
  </si>
  <si>
    <t>Lift irrigation system, 32 tanks</t>
  </si>
  <si>
    <t>Project initiated due to shortage of inflow of water to tanks and borewells going dry in the region, causing water shortage for dependent farmers.</t>
  </si>
  <si>
    <t>14.533536201183239, 75.01667672293812</t>
  </si>
  <si>
    <t>Hosahalli Tank Filling Scheme</t>
  </si>
  <si>
    <t>['Shivamogga', 'Shikaripura', 'Shiralkoppa']</t>
  </si>
  <si>
    <t>Solve the drinking water problem of the area by filling these tanks to 50% of their storage capacity, assist in ground water recharge and providing drinking water facility to towns of Shikarpura &amp; Shiralkoppa taluk and surrounding villages.</t>
  </si>
  <si>
    <t>01.08.2019</t>
  </si>
  <si>
    <t>75 tanks, Anjanapura reservoir</t>
  </si>
  <si>
    <t>Due to reduction in inflow over the years to 75 tanks of Shivamogga taluk and Anjanapura reservoir in Shikaripura taluk, there is a severe stress for drinking water in the area.</t>
  </si>
  <si>
    <t>12.995891547707728, 77.47924436265251</t>
  </si>
  <si>
    <t>Mudi Tank Filling Scheme</t>
  </si>
  <si>
    <t>['Soraba taluk']</t>
  </si>
  <si>
    <t>Solving drinking water problem and ground water recharge</t>
  </si>
  <si>
    <t>23.08.2019</t>
  </si>
  <si>
    <t>66 MI / ZP tanks</t>
  </si>
  <si>
    <t>Filling tanks to 50% of their storage capacity; Water lifted during 3 months in monsoon season.</t>
  </si>
  <si>
    <t>14.38081051493438, 75.10193810655439</t>
  </si>
  <si>
    <t>Filling of 186 MI / ZP tanks in Udugani-Talagunda-Hosuru hoblis</t>
  </si>
  <si>
    <t>['Shikaripura taluk']</t>
  </si>
  <si>
    <t>To solve the drinking water problem and assist in ground water recharge by filling tanks to 50% of their storage capacity.</t>
  </si>
  <si>
    <t>07.09.2019</t>
  </si>
  <si>
    <t>['Lift Irrigation Scheme (LIS)', '186 MI / ZP tanks']</t>
  </si>
  <si>
    <t>Project addresses severe stress for drinking water due to reduction in inflow to tanks. Water is proposed to be lifted from Tungabhadra River near Puradakere village of Hierkerur taluk during 04 months in monsoon season. Works of LIS are completed and dedicated to the nation, while tank improvement works are under progress. Tanks are located in Udugani-Talagunda-Hosuru hoblis.</t>
  </si>
  <si>
    <t>14.265505124321269, 75.35470966492919</t>
  </si>
  <si>
    <t>Filling of 46 (total 53) MI / ZP tanks in Jagalur taluk</t>
  </si>
  <si>
    <t>['Jagalur taluk']</t>
  </si>
  <si>
    <t>Solve the drinking water problem and assist in ground water recharge by filling tanks to 50% of their storage capacity</t>
  </si>
  <si>
    <t>53 MI / ZP tanks</t>
  </si>
  <si>
    <t>Due to reduction in inflow to the tanks in Jagalur taluk over the years there is a severe stress for drinking water in the area. Water is lifted from Tungabhadra River near Dituru village of Harihara taluk.</t>
  </si>
  <si>
    <t>14.519779627832746, 76.33824337116006</t>
  </si>
  <si>
    <t>Filling of 38 tanks in Bharamasagara Hobli and 01 tank in Davanagere taluk</t>
  </si>
  <si>
    <t>['Davanagere']</t>
  </si>
  <si>
    <t>['Bharamasagara Hobli', 'Davanagere taluk', 'Harihara taluk']</t>
  </si>
  <si>
    <t>Solving drinking water problem and assisting in ground water recharge by filling tanks</t>
  </si>
  <si>
    <t>01.09.2019</t>
  </si>
  <si>
    <t>39 MI / ZP tanks</t>
  </si>
  <si>
    <t>Tanks to be filled to 50% of their storage capacity. Project aims to address severe drinking water stress due to reduced inflow.</t>
  </si>
  <si>
    <t>14.463505334612274, 75.92693683865514</t>
  </si>
  <si>
    <t>Anur Tank Filling Scheme</t>
  </si>
  <si>
    <t>['Byadagi']</t>
  </si>
  <si>
    <t>Solve drinking water problem and assist in ground water recharge by filling tanks to 50% of their storage capacity.</t>
  </si>
  <si>
    <t>01.10.2019</t>
  </si>
  <si>
    <t>30 tanks</t>
  </si>
  <si>
    <t>Project involves lifting water from Tungabhadra River near Choudanapura village to fill 30 tanks in 18 villages of Byadagi taluk. Addresses severe drinking water stress due to reduced inflow.</t>
  </si>
  <si>
    <t>14.589417165122548, 75.46350338254219</t>
  </si>
  <si>
    <t>Budappanahalli Tank Filling Scheme</t>
  </si>
  <si>
    <t>Solve drinking water problem and assist in ground water recharge by filling tanks to 50% capacity.</t>
  </si>
  <si>
    <t>17 tanks</t>
  </si>
  <si>
    <t>Project addresses severe stress for drinking water due to reduced inflow to tanks. Water lifted from Tungabhadra River near Kotihal village.</t>
  </si>
  <si>
    <t>14.714736677323494, 75.57501933392783</t>
  </si>
  <si>
    <t>Balambeedu Tank Filling Scheme</t>
  </si>
  <si>
    <t>['Hanagal']</t>
  </si>
  <si>
    <t>Solve drinking water problem by filling tanks to 50% of their storage capacity and assist in ground water recharge</t>
  </si>
  <si>
    <t>162 Tanks, Pumping infrastructure</t>
  </si>
  <si>
    <t>Project aims to fill 162 tanks in Hanagal taluk to 50% of their storage capacity.</t>
  </si>
  <si>
    <t>14.759524020549536, 75.21792268608164</t>
  </si>
  <si>
    <t>Hirekoushi Tank Filling Scheme</t>
  </si>
  <si>
    <t>Lift scheme infrastructure, 77 tanks</t>
  </si>
  <si>
    <t>Project aims to fill 77 tanks to 50% of their storage capacity. Expenditure of 113.33 Crores incurred as of end of Mar-2023. Addresses severe stress for drinking water due to reduction in inflow to tanks.</t>
  </si>
  <si>
    <t>14.649362498268369, 75.1212024677627</t>
  </si>
  <si>
    <t>Sarvagna Tank Filling Scheme</t>
  </si>
  <si>
    <t>['Hirekerur', 'Rattihalli']</t>
  </si>
  <si>
    <t>Drinking water supply and ground water recharge</t>
  </si>
  <si>
    <t>Tanks</t>
  </si>
  <si>
    <t>Project aims to fill 77 tanks to 50% of their storage capacity. Addresses severe stress for drinking water due to reduction in inflow over the years.</t>
  </si>
  <si>
    <t>14.795608117397373, 75.39994232286952</t>
  </si>
  <si>
    <t>Sowkuru Lift Irrigation Scheme</t>
  </si>
  <si>
    <t>Varhi River</t>
  </si>
  <si>
    <t>['Kundapur']</t>
  </si>
  <si>
    <t>Salt Water Exclusion Dam</t>
  </si>
  <si>
    <t>Project provides irrigation to Sowkuru, Karkunje, Kenchanooru, Devalakundkanyana and surrounding villages. Water is lifted near Sowkuru village on the upstream side of Salt Water Exclusion Dam constructed across Varhi River near Balkur village.</t>
  </si>
  <si>
    <t>13.64631103693205, 74.75642412045393</t>
  </si>
  <si>
    <t>Yennehole Lift Irrigation Scheme</t>
  </si>
  <si>
    <t>['Karkala']</t>
  </si>
  <si>
    <t>irrigation</t>
  </si>
  <si>
    <t>vented dam</t>
  </si>
  <si>
    <t>Benefitting villages: Ajekar, Marne, Koranjibailu, Bolthottu, Higana, Devese, Mundhal, Hermade. Dam constructed near Ajekar village.</t>
  </si>
  <si>
    <t>13.213331568400092, 74.99913123579066</t>
  </si>
  <si>
    <t>Kasaba (Kalluwadduhalla) LIS</t>
  </si>
  <si>
    <t>Kumudwathi</t>
  </si>
  <si>
    <t>['Shikaripura taluk', 'Soraba taluk']</t>
  </si>
  <si>
    <t>Provide irrigation and fill tanks</t>
  </si>
  <si>
    <t>Lift system, 17 tanks</t>
  </si>
  <si>
    <t>Project aims to fill 17 tanks in Kasaba hobli.</t>
  </si>
  <si>
    <t>14.42422558470481, 75.51341658925575</t>
  </si>
  <si>
    <t>Benakanahalli Tank Filling Scheme</t>
  </si>
  <si>
    <t>['Honnali']</t>
  </si>
  <si>
    <t>To solve drinking water problem and assist in ground water recharge</t>
  </si>
  <si>
    <t>Due to reduction in inflow to tanks, there is severe stress for drinking water. The project aims to fill 19 tanks to 50% of their storage capacity.</t>
  </si>
  <si>
    <t>13.886271042711238, 76.30957945304397</t>
  </si>
  <si>
    <t>Govinakov Tank Filling Scheme</t>
  </si>
  <si>
    <t>To solve drinking water problem and assist in ground water recharge by filling tanks.</t>
  </si>
  <si>
    <t>01.06.2021</t>
  </si>
  <si>
    <t>94 tanks</t>
  </si>
  <si>
    <t>Water is proposed to be lifted during 120 days of monsoon. Addresses severe stress for drinking water due to reduced inflow.</t>
  </si>
  <si>
    <t>15.459442656722965, 76.65492756020502</t>
  </si>
  <si>
    <t>Belthangadi Lift Irrigation Scheme</t>
  </si>
  <si>
    <t>Nethravathi River</t>
  </si>
  <si>
    <t>['Dakshina Kannada']</t>
  </si>
  <si>
    <t>['Belthangadi']</t>
  </si>
  <si>
    <t>Provide drinking water, provide irrigation, strengthen river banks, flood protection</t>
  </si>
  <si>
    <t>bridge cum barrage across Nethravathi River</t>
  </si>
  <si>
    <t>Works for the first package of Rs. 173.78 crores are under progress, while works for the second package are under tender process.</t>
  </si>
  <si>
    <t>12.903125864714807, 75.07936207736005</t>
  </si>
  <si>
    <t>Holeanveri-Medleri Tank Filling Scheme</t>
  </si>
  <si>
    <t>['Ranebennur']</t>
  </si>
  <si>
    <t>Solving drinking water problem, ground water recharge, tank filling</t>
  </si>
  <si>
    <t>['18 tanks', '5 barrages', 'jackwell']</t>
  </si>
  <si>
    <t>Project involves two phases of water lifting from Tungabhadra River (0.161 TMC for 18 tanks and 5 barrages; 0.102 TMC for Medleri and Rahutanakatte tanks via a jackwell near Medleri village). Tanks to be filled to 50% of their storage capacity.</t>
  </si>
  <si>
    <t>14.51206796240738, 75.69095968174271</t>
  </si>
  <si>
    <t>Bullapura-Haade Tank Filling Scheme</t>
  </si>
  <si>
    <t>['Rattihalli']</t>
  </si>
  <si>
    <t>Solving drinking water problem</t>
  </si>
  <si>
    <t>01.08.2021</t>
  </si>
  <si>
    <t>BullapuraHaade and seven other tanks</t>
  </si>
  <si>
    <t>Scheme involves lifting water from Tungabhadra River during monsoon near Biranapada village to fill tanks due to reduced inflow and severe drinking water stress.</t>
  </si>
  <si>
    <t>14.422351831211671, 75.51171542337329</t>
  </si>
  <si>
    <t>Swarna LIS</t>
  </si>
  <si>
    <t>Lift Irrigation Scheme, Barrage Construction, Drinking Water Scheme, Tank Filling Scheme</t>
  </si>
  <si>
    <t>Swarna River</t>
  </si>
  <si>
    <t>To mitigate severe drinking water stress, rejuvenate and recharge ground water, fill nearby tanks, and irrigate agricultural land.</t>
  </si>
  <si>
    <t>01.05.2022</t>
  </si>
  <si>
    <t>A bridge cum barrage/Salt water extrusion dam across Swarna River near Uppuru village, two bridge-cum-barrages near Parari and Havanje villages</t>
  </si>
  <si>
    <t>Project aims to address severe stress for drinking water due to reduction in ground water levels and insufficient rainfall in Uppuru, Parari, Havanje, Shivalli, Herga, Aruru and other villages.</t>
  </si>
  <si>
    <t>13.34681641639635, 74.71282225913704</t>
  </si>
  <si>
    <t>Siddapura LIS</t>
  </si>
  <si>
    <t>Varahi</t>
  </si>
  <si>
    <t>['Kundapura']</t>
  </si>
  <si>
    <t>01.09.2022</t>
  </si>
  <si>
    <t>Varahi right bank canal</t>
  </si>
  <si>
    <t>Benefitting Siddapura, Amparu, Ajri Mutthukodladi villages. Tender process completed.</t>
  </si>
  <si>
    <t>13.342080220575681, 74.74786763244656</t>
  </si>
  <si>
    <t>Bennithora Modernisation Works</t>
  </si>
  <si>
    <t>Bennithora River</t>
  </si>
  <si>
    <t>['Kalaburgi']</t>
  </si>
  <si>
    <t>['Chittapur']</t>
  </si>
  <si>
    <t>['Bennithora dam', 'Embankment', 'Spillway']</t>
  </si>
  <si>
    <t>two canals</t>
  </si>
  <si>
    <t>Water is being stored since 2001.</t>
  </si>
  <si>
    <t>17.44422806481591, 77.02145680253592</t>
  </si>
  <si>
    <t>Bhima Lift Irrigation Scheme</t>
  </si>
  <si>
    <t>['Afzalpur']</t>
  </si>
  <si>
    <t>barrage</t>
  </si>
  <si>
    <t>Barrage constructed near Sonna village.</t>
  </si>
  <si>
    <t>17.17615263920732, 76.3498859251734</t>
  </si>
  <si>
    <t>Gandorinala Modernisation Project</t>
  </si>
  <si>
    <t>['Kalburgi']</t>
  </si>
  <si>
    <t>Dam</t>
  </si>
  <si>
    <t>Main canal</t>
  </si>
  <si>
    <t>The main canal of the project was constructed 15 years ago and some parts are dilapidated. Estimated cost for modernisation is Rs.92.00 crores.</t>
  </si>
  <si>
    <t>17.32638327529, 76.83530440891488</t>
  </si>
  <si>
    <t>Modernisation of Canal Network of Lower Mullamari Project</t>
  </si>
  <si>
    <t>Mullamari</t>
  </si>
  <si>
    <t>['Chincholi']</t>
  </si>
  <si>
    <t>Modernisation of irrigation infrastructure</t>
  </si>
  <si>
    <t>Dam (constructed in 1972)</t>
  </si>
  <si>
    <t>Canal Network of Lower Mullamari Project</t>
  </si>
  <si>
    <t>Original dam constructed in 1972 across river Mullamari. Original project provided irrigation to 9713 ha utilising 2.61 TMC of water. Parts of the original project reached dilapidated stage.</t>
  </si>
  <si>
    <t>17.539614837364812, 77.23905178206941</t>
  </si>
  <si>
    <t>Amarja Project</t>
  </si>
  <si>
    <t>Hyderabad-Karnataka</t>
  </si>
  <si>
    <t>Amarja River</t>
  </si>
  <si>
    <t>['Kalaburagi']</t>
  </si>
  <si>
    <t>['Alanda', 'Afzalpur']</t>
  </si>
  <si>
    <t>Dam constructed near Sangolgi village in Aland Taluk. Target irrigation facility for 8903 ha of land.</t>
  </si>
  <si>
    <t>17.486262140609075, 76.55254819274293</t>
  </si>
  <si>
    <t>Bori LIS</t>
  </si>
  <si>
    <t>Bori River</t>
  </si>
  <si>
    <t>['Kalburagi District']</t>
  </si>
  <si>
    <t>['Alnad', 'Afzalpur']</t>
  </si>
  <si>
    <t>Addressing drinking water stress by augmenting water levels in reservoirs and tanks</t>
  </si>
  <si>
    <t>01.02.2018</t>
  </si>
  <si>
    <t>['Lift Irrigation System', 'Amarja reservoir', '10 MI tanks in Afzalpur taluk', '3 MI tanks in Aland taluk']</t>
  </si>
  <si>
    <t>Scheme aims to address severe drinking water stress caused by scanty rainfall and reduced water levels in borewells, open wells and tanks in Kalburagi District. Water is lifted near Balundagi village from Bori River, a tributary of Bhima River.</t>
  </si>
  <si>
    <t>17.171816575045096, 76.30382352909945</t>
  </si>
  <si>
    <t>Filling of 8 tanks in Aland Taluka from Bori River</t>
  </si>
  <si>
    <t>['Aland']</t>
  </si>
  <si>
    <t>['8 tanks', 'Bleeder from Bori LIS']</t>
  </si>
  <si>
    <t>17.17226760019616, 76.30408102115204</t>
  </si>
  <si>
    <t>Karanja Project</t>
  </si>
  <si>
    <t>['Bidar']</t>
  </si>
  <si>
    <t>['Bhalki', 'Bidar', 'Humnabad']</t>
  </si>
  <si>
    <t>18.103219001061873, 77.07011989808204</t>
  </si>
  <si>
    <t>Modernisation works of Karanja Canals</t>
  </si>
  <si>
    <t>Modernisation of canals to provide irrigation facility, especially to tail end areas, due to dilapidated state of existing canals.</t>
  </si>
  <si>
    <t>Dam near Byalahalli village, main canal</t>
  </si>
  <si>
    <t>Karanja Canals, main canal</t>
  </si>
  <si>
    <t>The main canal was constructed about 30 years ago and reached a dilapidated state, making it difficult to provide water to the tail end. DPR administratively approved in Nov-2017.</t>
  </si>
  <si>
    <t>17.909840465860203, 77.52424373478514</t>
  </si>
  <si>
    <t>Supplemental project of providing water from Manikeshwara and Halahalli Barrage between km 60 to 90 of Right Bank Canal to make good the shortage in the inflow of Karanja Reservoir</t>
  </si>
  <si>
    <t>Supplemental Irrigation Project</t>
  </si>
  <si>
    <t>To make good the shortage in the inflow of Karanja Reservoir</t>
  </si>
  <si>
    <t>['Manikeshwara Barrage', 'Halahalli Barrage', 'Right Bank Canal', 'Karanja Reservoir']</t>
  </si>
  <si>
    <t>Right Bank Canal (km 60-90)</t>
  </si>
  <si>
    <t>The Karanja Irrigation Project, which this supplemental project supports, has been constructed near Byalahalli village of Bhalki taluk in Bidar district.</t>
  </si>
  <si>
    <t>18.043820583586673, 77.2418474202127</t>
  </si>
  <si>
    <t>Upper Mullamari Modernisation Works</t>
  </si>
  <si>
    <t>Mullamari River</t>
  </si>
  <si>
    <t>['Bidar', 'Kalaburgi']</t>
  </si>
  <si>
    <t>['Humnabad', 'Basavakalyana', 'Kalaburgi']</t>
  </si>
  <si>
    <t>Modernisation of canal network, create outlet potential</t>
  </si>
  <si>
    <t>dam, main canal</t>
  </si>
  <si>
    <t>main canal, canal network</t>
  </si>
  <si>
    <t>The main canal of the project was constructed 30 years ago and some parts reached a dilapidated state, leading to modernisation works.</t>
  </si>
  <si>
    <t>17.768548891264178, 77.1298813428182</t>
  </si>
  <si>
    <t>Filling of Chulkinala Reservoir and tanks by lifting water from Kongali Barrage in Basavakalyana taluk</t>
  </si>
  <si>
    <t>Tank Filling Scheme, Lift Irrigation Scheme, Drinking Water Scheme</t>
  </si>
  <si>
    <t>Kongali Barrage</t>
  </si>
  <si>
    <t>['Basavakalyana']</t>
  </si>
  <si>
    <t>provide drinking water to people and cattle and to replenish ground water resources</t>
  </si>
  <si>
    <t>['Chulkinala Reservoir', 'Kongali Barrage', '15 tanks']</t>
  </si>
  <si>
    <t>Kongali barrage is near Jamakhandi village.</t>
  </si>
  <si>
    <t>18.060136492381645, 76.99128287740679</t>
  </si>
  <si>
    <t>Kagina LIS</t>
  </si>
  <si>
    <t>Kagina River</t>
  </si>
  <si>
    <t>['Chitthapura', 'Chincholi', 'Sedam']</t>
  </si>
  <si>
    <t>irrigation facilities</t>
  </si>
  <si>
    <t>two lift schemes</t>
  </si>
  <si>
    <t>The people in the drought prone Sedam assembly constituency in Chitthapura, Chincholi and Sedam talukas of Kalaburgi district are dependent on Kagina River for their drinking water needs and irrigation purposes. The DPR of the project was administratively approved in Apr-2022.</t>
  </si>
  <si>
    <t>17.19058501835457, 77.13612741089432</t>
  </si>
  <si>
    <t>Ainapura LIS</t>
  </si>
  <si>
    <t>Benefitting Inapura and 17 other villages of drought prone areas.</t>
  </si>
  <si>
    <t>16.811208128939143, 76.49082662351167</t>
  </si>
  <si>
    <t>Filling of 36 tanks by lifting water from Manjra River upstream of Halahalli barrage near Balat (B) village of Aurad Taluk, Bidar District</t>
  </si>
  <si>
    <t>Tank Filling Scheme, Drinking Water Scheme</t>
  </si>
  <si>
    <t>Manjra River</t>
  </si>
  <si>
    <t>['Bidar District']</t>
  </si>
  <si>
    <t>['Aurad Taluk']</t>
  </si>
  <si>
    <t>Solve the drinking water problem of the area by filling these tanks to 50% of their storage capacity and also assist in ground water recharge</t>
  </si>
  <si>
    <t>Halahalli barrage, 36 tanks</t>
  </si>
  <si>
    <t>DPR administratively approved. Work yet to be started. Action being taken to invite tenders for second stage.</t>
  </si>
  <si>
    <t>12.515121520508872, 76.90443671934514</t>
  </si>
  <si>
    <t>Filling of Bennithora Reservoir</t>
  </si>
  <si>
    <t>['Kalaburgi District']</t>
  </si>
  <si>
    <t>To compensate for drinking water diversion and ensure irrigation facility by filling Bennithora Reservoir</t>
  </si>
  <si>
    <t>['Lift scheme', 'Bennithora Reservoir']</t>
  </si>
  <si>
    <t>Karnataka Urban Infrastructure Development and Finance Corporation (KUIDFC) has proposed to take up 24/7 drinking water facility to Kalaburgi city by utilizing 1.624 TMC of water from Bennithora Reservoir, causing a shortage of water from irrigation.</t>
  </si>
  <si>
    <t>17.443753291020972, 76.99079183970065</t>
  </si>
  <si>
    <t>Mehkar LIS</t>
  </si>
  <si>
    <t>['Bhalki']</t>
  </si>
  <si>
    <t>Drinking Water and Irrigation</t>
  </si>
  <si>
    <t>Proposed to mitigate severe stress for drinking water and reduction in ground water levels due to reduction in inflow to tanks. Benefits 12 villages. Water lifted from Manjra River upstream of Manikeshwar barrage.</t>
  </si>
  <si>
    <t>20.148158421669937, 76.57228194925453</t>
  </si>
  <si>
    <t>Modernisation of Tungabhadra Canal Network</t>
  </si>
  <si>
    <t>Kalyana Karnataka</t>
  </si>
  <si>
    <t>['Ballari', 'Raichur', 'Koppal']</t>
  </si>
  <si>
    <t>Modernisation of Irrigation facilities</t>
  </si>
  <si>
    <t>['Tungabhadra Dam', 'Canal Network']</t>
  </si>
  <si>
    <t>Tungabhadra Canal Network</t>
  </si>
  <si>
    <t>The Tungabhadra Project is a multipurpose inter-state project. The original dam and canal works of this project have been completed. The Tungabhadra Dam has been constructed near Mallapur in Hospet taluk of Ballari district.</t>
  </si>
  <si>
    <t>15.265256437968791, 76.34973137626326</t>
  </si>
  <si>
    <t>Hirehalla Project</t>
  </si>
  <si>
    <t>Hirehalla</t>
  </si>
  <si>
    <t>['Koppal']</t>
  </si>
  <si>
    <t>R&amp;R works are under progress.</t>
  </si>
  <si>
    <t>15.446949763210153, 76.10451805927205</t>
  </si>
  <si>
    <t>Singatalur Lift Irrigation Scheme</t>
  </si>
  <si>
    <t>['Bellary', 'Koppal', 'Gadag']</t>
  </si>
  <si>
    <t>['Huvinahadagali', 'Koppal', 'Yalaburgi', 'Gadag', 'Mundargi']</t>
  </si>
  <si>
    <t>['Barrage']</t>
  </si>
  <si>
    <t>[{'name': 'Right Bank Canal', 'length_km': 40.13, 'status': 'completed'}, {'name': 'Left Bank Canal', 'length_km': 166.44, 'status': 'under progress'}]</t>
  </si>
  <si>
    <t>19,587 ha irrigated through flow and 87,793 ha through Drip. Drip irrigation works for 71074 ha under the 166.44 km long left bank canal are under progress.</t>
  </si>
  <si>
    <t>15.0585084743703, 75.88714963743865</t>
  </si>
  <si>
    <t>Modernization Of Vijayanagar Canals</t>
  </si>
  <si>
    <t>['Hospet', 'Ballari', 'Shiraguppa', 'Gangavathi', 'Koppala', 'Manvi']</t>
  </si>
  <si>
    <t>Vijayanagara Channel system</t>
  </si>
  <si>
    <t>The Vijayanagara Channel system was built during the period of Vijayanagara Empire. The works are taken up with loan assistance of the Asian Development Bank.</t>
  </si>
  <si>
    <t>15.268554337406217, 76.39298185236711</t>
  </si>
  <si>
    <t>Rajoli Banda Project</t>
  </si>
  <si>
    <t>Creation of outlet potential for irrigation</t>
  </si>
  <si>
    <t>Tungabhadra reservoir</t>
  </si>
  <si>
    <t>Outlet potential created from water available from the lower basin of Tungabhadra reservoir and from the regenerated water of Tungabhadra project. The main project is completed, and modernization works are under progress.</t>
  </si>
  <si>
    <t>15.906627010567316, 78.09011539119344</t>
  </si>
  <si>
    <t>Alvandi Betageri LIS</t>
  </si>
  <si>
    <t>Provide irrigation facility</t>
  </si>
  <si>
    <t>16.144677163982806, 74.9822892922598</t>
  </si>
  <si>
    <t>Filling of Malvi Reservoir in Hagaribommanahalli taluk of Ballari district by Lift Irrigation from Tungabhadra River</t>
  </si>
  <si>
    <t>['Ballari']</t>
  </si>
  <si>
    <t>['Hagaribommanahalli']</t>
  </si>
  <si>
    <t>To feed water to Malvi Reservoir by lifting water from Tungabhadra River to make good the shortage of inflow for irrigation purposes.</t>
  </si>
  <si>
    <t>01.08.2017</t>
  </si>
  <si>
    <t>['Malvi Reservoir', 'Lift Irrigation System', 'Dam across Chikahagari River']</t>
  </si>
  <si>
    <t>An existing dam was constructed in 1972 near Malavi village across the Chikahagari river to provide water for monsoon and post-monsoon crops. Due to reduction in rainfall and construction of small tanks upstream, adequate water is not being stored in the reservoir, leading to the proposal for lift irrigation from Tungabhadra River.</t>
  </si>
  <si>
    <t>15.040692587774704, 76.18449649641803</t>
  </si>
  <si>
    <t>Filling of 20 Percolation Tanks by lifting water from Tungabhadra near Itagi village in Shirahatti taluk of Gadag district</t>
  </si>
  <si>
    <t>['Gadag']</t>
  </si>
  <si>
    <t>['Shirahatti']</t>
  </si>
  <si>
    <t>Addressing drinking water shortage for people and cattle, and replenishing depleted groundwater resources</t>
  </si>
  <si>
    <t>01.07.2017</t>
  </si>
  <si>
    <t>20 Percolation Tanks, Lift System</t>
  </si>
  <si>
    <t>15.232421201664724, 75.5788348157182</t>
  </si>
  <si>
    <t>Thimmapur Lift Irrigation Scheme</t>
  </si>
  <si>
    <t>['Raichur']</t>
  </si>
  <si>
    <t>['Sindhanur']</t>
  </si>
  <si>
    <t>stabilisting the suffering tail end atchkat area</t>
  </si>
  <si>
    <t>['TLBC Dy.54']</t>
  </si>
  <si>
    <t>Near Turakatti village.</t>
  </si>
  <si>
    <t>14.955407988074835, 75.72820759907438</t>
  </si>
  <si>
    <t>Filling of Karadona &amp; Ramadurga tanks</t>
  </si>
  <si>
    <t>['Tank Filling Scheme', 'Drinking Water Scheme']</t>
  </si>
  <si>
    <t>['Gangavathy']</t>
  </si>
  <si>
    <t>To augment the reduction in flow to the tanks of Kanagairi area and ensure adequate drinking water facility in the area.</t>
  </si>
  <si>
    <t>['Kardona Tank', 'Shirwara Tank', 'Ramdurg Tank', 'Hoskere Tank']</t>
  </si>
  <si>
    <t>Water is proposed to be lifted from the already completed MI scheme â€œDevalapura and Other tank filling schemeâ€ and supplied to Kardona, Shirwara, Ramdurg and Hoskere tanks upto 50% of their storage capacity.</t>
  </si>
  <si>
    <t>15.432584881302475, 76.5259412609265</t>
  </si>
  <si>
    <t>Bahaddur Bandi LIS</t>
  </si>
  <si>
    <t>To financially strengthen the farmers and provide irrigation facility to land suffering from reduced rainfall.</t>
  </si>
  <si>
    <t>Project covers Bahaddur Bandi and 18 adjoining villages. Works proposed in two stages. Stage-1 administratively approved for Rs.80.00 crores.</t>
  </si>
  <si>
    <t>15.315530967776887, 76.16274123079032</t>
  </si>
  <si>
    <t>Augmentation of Ganekal Balancing Reservoir from Krishna River</t>
  </si>
  <si>
    <t>To make good the shortage in drinking water supply to Raichur city and enroute villages due to siltation in Tungabhadra Dam.</t>
  </si>
  <si>
    <t>['Ganekal Balancing Reservoir', 'Tungabhadra Dam', 'Gugal barrage']</t>
  </si>
  <si>
    <t>Tungabhadra LBC</t>
  </si>
  <si>
    <t>The Ganekal balancing reservoir was originally filled by the Tungabhadra LBC. Due to siltation in Tungabhadra Dam, it is now proposed to fill the reservoir by lifting water from Gugal barrage across Krishna River.</t>
  </si>
  <si>
    <t>15.70168089317547, 77.22249808709587</t>
  </si>
  <si>
    <t>Filling up of 13 tanks and providing drinking water facility to 21 villages in Hospete taluk</t>
  </si>
  <si>
    <t>Lift Irrigation Scheme, Tank Filling Scheme, Drinking Water Scheme</t>
  </si>
  <si>
    <t>['Hospete taluk']</t>
  </si>
  <si>
    <t>Tank filling and providing drinking water facility</t>
  </si>
  <si>
    <t>['18 tanks (including 03 percolation tanks)', '04 series check dams', 'reservoirs']</t>
  </si>
  <si>
    <t>Water to be lifted during 03 months of monsoon season. Project benefits mining affected villages.</t>
  </si>
  <si>
    <t>15.268388735254172, 76.39263852963032</t>
  </si>
  <si>
    <t>Filling of Aladamma Kere in Sugnahalli village in Bannikoppa Gram Panchayati, Shiratti taluk, Gadag district</t>
  </si>
  <si>
    <t>['Shiratti']</t>
  </si>
  <si>
    <t>To make good the shortage in inflow to these tanks</t>
  </si>
  <si>
    <t>['Aladamma Kere', 'Tanks in Bannikoppa village']</t>
  </si>
  <si>
    <t>15.256444557257877, 75.66832052309299</t>
  </si>
  <si>
    <t>Mukkumpi Tank Filling Scheme</t>
  </si>
  <si>
    <t>['Koppal District']</t>
  </si>
  <si>
    <t>['Gangavathi taluk']</t>
  </si>
  <si>
    <t>To make good the shortage in inflow to Mukkumpi tank and 5 other tanks.</t>
  </si>
  <si>
    <t>15.420811359254957, 76.39054585422664</t>
  </si>
  <si>
    <t>Kudligi Tank Filling Scheme</t>
  </si>
  <si>
    <t>['Kudligi']</t>
  </si>
  <si>
    <t>Fill 74 tanks in Kudligi constituency</t>
  </si>
  <si>
    <t>['Pump house near Rajawala village', 'Delivery chamber (DC-1) near Nadamannahalli', 'Sunkadakallu tank (balancing Reservoir)']</t>
  </si>
  <si>
    <t>Involves two stages: Stage 1 lifts water from Tungabhadra River to DC-1 and then to 16 tanks including Sunkadakallu tank via gravity mains. Stage 2 lifts water from Sunkadakallu tank to fill the balance 58 tanks via gravity mains.</t>
  </si>
  <si>
    <t>14.905357153868456, 76.39001496850214</t>
  </si>
  <si>
    <t>Jalawadgi Tank Filling Scheme</t>
  </si>
  <si>
    <t>['Gadag District']</t>
  </si>
  <si>
    <t>['Shirahatti', 'Mundargi']</t>
  </si>
  <si>
    <t>solving drinking water problem, ground water recharge</t>
  </si>
  <si>
    <t>01.03.2022</t>
  </si>
  <si>
    <t>tanks, check dams</t>
  </si>
  <si>
    <t>Due to reduction in inflow to tanks, severe stress for drinking water. Project aims to fill tanks to 50% of their storage capacity.</t>
  </si>
  <si>
    <t>14.904216689290084, 76.38719328475916</t>
  </si>
  <si>
    <t>Maskinala Modernisation</t>
  </si>
  <si>
    <t>Maskinala</t>
  </si>
  <si>
    <t>['Lingsugur']</t>
  </si>
  <si>
    <t>To provide irrigation facility and modernize existing canal infrastructure.</t>
  </si>
  <si>
    <t>['Dam', 'Main Canals', 'Distributaries']</t>
  </si>
  <si>
    <t>Main canals and distributaries</t>
  </si>
  <si>
    <t>Original main canals and distributaries were completed 20 years ago and are now in a dilapidated state causing problems in water supply to tail end areas.</t>
  </si>
  <si>
    <t>16.018714485062297, 76.5482711741082</t>
  </si>
  <si>
    <t>Indargi Tank Filling Scheme</t>
  </si>
  <si>
    <t>['Gangavathi']</t>
  </si>
  <si>
    <t>Solve drinking water problem by filling tanks to 50% of their storage capacity and assist in ground water recharge.</t>
  </si>
  <si>
    <t>Lift scheme from Tungabhadra River, 22 tanks, 6 tanks</t>
  </si>
  <si>
    <t>Project proposes to lift water from Tungabhadra River near Gadmadi village to fill 22 tanks. Another 6 tanks will be filled from Venkatgiri, which is in turn filled under Mukkumpi TFS. The estimate and DTP for the work is under preparation.</t>
  </si>
  <si>
    <t>15.441816839981323, 76.32460734086432</t>
  </si>
  <si>
    <t>Gunjalli Tank Filling Scheme</t>
  </si>
  <si>
    <t>Alleviate drinking water scarcity for people and livestock and increase ground water level</t>
  </si>
  <si>
    <t>['Vaddageri Basappa Lake']</t>
  </si>
  <si>
    <t>['Tungabhadra Left Bank Canal']</t>
  </si>
  <si>
    <t>Vaddageri Basappa Lake, dating back 60-65 years, has a present capacity of 0.56 TMC and a length of 2.30 km. It was originally constructed to provide water to about 584-21 acres of Gunjalli village. Water in the lake is currently collected only from rain. Villages facing drinking water problems include Jambaladinni, Puchchaladinni, Yeragera, Midagaladinni, Gunjalli, Idapanur, and Budura.</t>
  </si>
  <si>
    <t>15.775806889709008, 76.62747142312493</t>
  </si>
  <si>
    <t>Chikkamanchali BCB</t>
  </si>
  <si>
    <t>['Barrage Construction', 'Drinking Water Scheme', 'Eco-Tourism']</t>
  </si>
  <si>
    <t>Tungabhadra river</t>
  </si>
  <si>
    <t>Connecting two holy places (Panchamukhi Anjaneya swamy temple and Mantralaya) for devotees and providing water to people, livestock, farmers, and devotees during the summer season from the backwaters collected in the bridge barrage.</t>
  </si>
  <si>
    <t>bridge barrage</t>
  </si>
  <si>
    <t>Administrative approval for Rs.158.10 crores is expected in February-2024, subject to the approval of the State of Andhra Pradesh. Efforts are being made to get the approval of the State of Andhra Pradesh.</t>
  </si>
  <si>
    <t>16.213161912882388, 77.35541506041838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</si>
</sst>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mm/yy"/>
  </numFmts>
  <fonts count="20">
    <font>
      <sz val="11"/>
      <color theme="1"/>
      <name val="Aptos Narrow"/>
      <charset val="134"/>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3" borderId="5" applyNumberFormat="0" applyAlignment="0" applyProtection="0"/>
    <xf numFmtId="0" fontId="12" fillId="4" borderId="6" applyNumberFormat="0" applyAlignment="0" applyProtection="0"/>
    <xf numFmtId="0" fontId="13" fillId="4" borderId="5" applyNumberFormat="0" applyAlignment="0" applyProtection="0"/>
    <xf numFmtId="0" fontId="14" fillId="5" borderId="7" applyNumberFormat="0" applyAlignment="0" applyProtection="0"/>
    <xf numFmtId="0" fontId="15" fillId="0" borderId="8" applyNumberFormat="0" applyFill="0" applyAlignment="0" applyProtection="0"/>
    <xf numFmtId="0" fontId="1"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4">
    <xf numFmtId="0" fontId="0" fillId="0" borderId="0" xfId="0"/>
    <xf numFmtId="0" fontId="1" fillId="0" borderId="0" xfId="0" applyFont="1"/>
    <xf numFmtId="0" fontId="1" fillId="0" borderId="0" xfId="0" applyFont="1" applyAlignment="1">
      <alignment wrapText="1"/>
    </xf>
    <xf numFmtId="18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9"/>
  <sheetViews>
    <sheetView tabSelected="1" zoomScale="62" zoomScaleNormal="62" topLeftCell="J1" workbookViewId="0">
      <selection activeCell="J10" sqref="J10"/>
    </sheetView>
  </sheetViews>
  <sheetFormatPr defaultColWidth="9" defaultRowHeight="14.4"/>
  <cols>
    <col min="1" max="1" width="204" customWidth="1"/>
    <col min="2" max="2" width="81.1388888888889" customWidth="1"/>
    <col min="3" max="3" width="18.8518518518519" customWidth="1"/>
    <col min="4" max="4" width="20.712962962963" customWidth="1"/>
    <col min="5" max="5" width="17" customWidth="1"/>
    <col min="6" max="6" width="20.1388888888889" customWidth="1"/>
    <col min="7" max="7" width="49" customWidth="1"/>
    <col min="8" max="8" width="39.287037037037" customWidth="1"/>
    <col min="9" max="9" width="123.425925925926" customWidth="1"/>
    <col min="10" max="10" width="218.287037037037" customWidth="1"/>
    <col min="11" max="11" width="17.712962962963" customWidth="1"/>
    <col min="12" max="12" width="20.712962962963" customWidth="1"/>
    <col min="13" max="13" width="21" customWidth="1"/>
    <col min="14" max="14" width="24.1388888888889" customWidth="1"/>
    <col min="15" max="15" width="20.8518518518519" customWidth="1"/>
    <col min="16" max="16" width="22" customWidth="1"/>
    <col min="17" max="17" width="19.8518518518519" customWidth="1"/>
    <col min="18" max="18" width="12.287037037037" customWidth="1"/>
    <col min="19" max="19" width="180.138888888889" customWidth="1"/>
    <col min="20" max="21" width="255.712962962963" customWidth="1"/>
    <col min="22" max="22" width="36" customWidth="1"/>
    <col min="23" max="23" width="20.8888888888889" customWidth="1"/>
    <col min="24" max="24" width="24.0277777777778"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1" t="s">
        <v>23</v>
      </c>
    </row>
    <row r="2" spans="1:24">
      <c r="A2" t="s">
        <v>24</v>
      </c>
      <c r="B2" t="s">
        <v>25</v>
      </c>
      <c r="C2" t="s">
        <v>26</v>
      </c>
      <c r="D2" t="s">
        <v>27</v>
      </c>
      <c r="E2">
        <v>310823</v>
      </c>
      <c r="G2" t="s">
        <v>28</v>
      </c>
      <c r="H2" t="s">
        <v>29</v>
      </c>
      <c r="I2" t="s">
        <v>30</v>
      </c>
      <c r="J2" t="s">
        <v>31</v>
      </c>
      <c r="K2" t="s">
        <v>32</v>
      </c>
      <c r="L2">
        <v>573.28</v>
      </c>
      <c r="M2" t="s">
        <v>33</v>
      </c>
      <c r="N2">
        <v>833</v>
      </c>
      <c r="O2">
        <v>579.4</v>
      </c>
      <c r="P2">
        <v>69.6</v>
      </c>
      <c r="Q2">
        <v>-253.6</v>
      </c>
      <c r="S2" t="s">
        <v>34</v>
      </c>
      <c r="T2" t="s">
        <v>35</v>
      </c>
      <c r="V2" t="s">
        <v>36</v>
      </c>
      <c r="W2" s="2" t="str">
        <f>TRIM(LEFT(V2,FIND(",",V2)-1))</f>
        <v>16.16781522305941</v>
      </c>
      <c r="X2" s="2" t="str">
        <f>TRIM(MID(V2,FIND(",",V2)+1,LEN(V2)))</f>
        <v>74.65493199955361</v>
      </c>
    </row>
    <row r="3" spans="1:24">
      <c r="A3" t="s">
        <v>37</v>
      </c>
      <c r="B3" t="s">
        <v>38</v>
      </c>
      <c r="C3" t="s">
        <v>39</v>
      </c>
      <c r="D3" t="s">
        <v>40</v>
      </c>
      <c r="J3" t="s">
        <v>41</v>
      </c>
      <c r="K3" t="s">
        <v>42</v>
      </c>
      <c r="L3">
        <v>147</v>
      </c>
      <c r="S3" t="s">
        <v>43</v>
      </c>
      <c r="U3" t="s">
        <v>44</v>
      </c>
      <c r="V3" t="s">
        <v>45</v>
      </c>
      <c r="W3" s="2" t="str">
        <f t="shared" ref="W3:W34" si="0">TRIM(LEFT(V3,FIND(",",V3)-1))</f>
        <v>16.14158933439945</v>
      </c>
      <c r="X3" s="2" t="str">
        <f t="shared" ref="X3:X34" si="1">TRIM(MID(V3,FIND(",",V3)+1,LEN(V3)))</f>
        <v>74.5993316286537</v>
      </c>
    </row>
    <row r="4" spans="1:24">
      <c r="A4" t="s">
        <v>46</v>
      </c>
      <c r="B4" t="s">
        <v>47</v>
      </c>
      <c r="C4" t="s">
        <v>39</v>
      </c>
      <c r="D4" t="s">
        <v>27</v>
      </c>
      <c r="E4">
        <v>74742</v>
      </c>
      <c r="H4" t="s">
        <v>29</v>
      </c>
      <c r="I4" t="s">
        <v>48</v>
      </c>
      <c r="J4" t="s">
        <v>49</v>
      </c>
      <c r="K4" t="s">
        <v>50</v>
      </c>
      <c r="L4">
        <v>186.7</v>
      </c>
      <c r="M4" t="s">
        <v>51</v>
      </c>
      <c r="N4">
        <v>1521.78</v>
      </c>
      <c r="O4">
        <v>2783.36</v>
      </c>
      <c r="P4">
        <v>100</v>
      </c>
      <c r="Q4">
        <v>1261.58</v>
      </c>
      <c r="S4" t="s">
        <v>52</v>
      </c>
      <c r="T4" t="s">
        <v>53</v>
      </c>
      <c r="U4" t="s">
        <v>54</v>
      </c>
      <c r="V4" t="s">
        <v>55</v>
      </c>
      <c r="W4" s="2" t="str">
        <f t="shared" si="0"/>
        <v>16.555025689634657</v>
      </c>
      <c r="X4" s="2" t="str">
        <f t="shared" si="1"/>
        <v>75.17004486075129</v>
      </c>
    </row>
    <row r="5" spans="1:24">
      <c r="A5" t="s">
        <v>56</v>
      </c>
      <c r="B5" t="s">
        <v>47</v>
      </c>
      <c r="C5" t="s">
        <v>57</v>
      </c>
      <c r="D5" t="s">
        <v>40</v>
      </c>
      <c r="E5">
        <v>1939</v>
      </c>
      <c r="G5" t="s">
        <v>58</v>
      </c>
      <c r="J5" t="s">
        <v>59</v>
      </c>
      <c r="K5" t="s">
        <v>60</v>
      </c>
      <c r="L5">
        <v>22.536</v>
      </c>
      <c r="O5">
        <v>32.83</v>
      </c>
      <c r="T5" t="s">
        <v>61</v>
      </c>
      <c r="U5" t="s">
        <v>62</v>
      </c>
      <c r="V5" t="s">
        <v>63</v>
      </c>
      <c r="W5" s="2" t="str">
        <f t="shared" si="0"/>
        <v>15.886344133834498</v>
      </c>
      <c r="X5" s="2" t="str">
        <f t="shared" si="1"/>
        <v>74.92702110597986</v>
      </c>
    </row>
    <row r="6" spans="1:24">
      <c r="A6" t="s">
        <v>64</v>
      </c>
      <c r="B6" t="s">
        <v>47</v>
      </c>
      <c r="C6" t="s">
        <v>57</v>
      </c>
      <c r="D6" t="s">
        <v>40</v>
      </c>
      <c r="E6">
        <v>2718</v>
      </c>
      <c r="G6" t="s">
        <v>58</v>
      </c>
      <c r="J6" t="s">
        <v>59</v>
      </c>
      <c r="K6" t="s">
        <v>60</v>
      </c>
      <c r="L6">
        <v>24.06</v>
      </c>
      <c r="O6">
        <v>21.13</v>
      </c>
      <c r="S6" t="s">
        <v>65</v>
      </c>
      <c r="T6" t="s">
        <v>61</v>
      </c>
      <c r="U6" t="s">
        <v>66</v>
      </c>
      <c r="V6" t="s">
        <v>67</v>
      </c>
      <c r="W6" s="2" t="str">
        <f t="shared" si="0"/>
        <v>15.923605598913797</v>
      </c>
      <c r="X6" s="2" t="str">
        <f t="shared" si="1"/>
        <v>74.8610011254369</v>
      </c>
    </row>
    <row r="7" spans="1:24">
      <c r="A7" t="s">
        <v>68</v>
      </c>
      <c r="B7" t="s">
        <v>69</v>
      </c>
      <c r="C7" t="s">
        <v>39</v>
      </c>
      <c r="D7" t="s">
        <v>40</v>
      </c>
      <c r="E7">
        <v>59933</v>
      </c>
      <c r="G7" t="s">
        <v>70</v>
      </c>
      <c r="H7" t="s">
        <v>71</v>
      </c>
      <c r="I7" t="s">
        <v>71</v>
      </c>
      <c r="J7" t="s">
        <v>59</v>
      </c>
      <c r="O7">
        <v>361.07</v>
      </c>
      <c r="S7" t="s">
        <v>72</v>
      </c>
      <c r="T7" t="s">
        <v>73</v>
      </c>
      <c r="U7" t="s">
        <v>74</v>
      </c>
      <c r="V7" t="s">
        <v>75</v>
      </c>
      <c r="W7" s="2" t="str">
        <f t="shared" si="0"/>
        <v>16.707760033044107</v>
      </c>
      <c r="X7" s="2" t="str">
        <f t="shared" si="1"/>
        <v>74.24987334054683</v>
      </c>
    </row>
    <row r="8" spans="1:24">
      <c r="A8" t="s">
        <v>76</v>
      </c>
      <c r="B8" t="s">
        <v>69</v>
      </c>
      <c r="C8" t="s">
        <v>39</v>
      </c>
      <c r="D8" t="s">
        <v>27</v>
      </c>
      <c r="E8">
        <v>8200</v>
      </c>
      <c r="G8" t="s">
        <v>77</v>
      </c>
      <c r="H8" t="s">
        <v>78</v>
      </c>
      <c r="I8" t="s">
        <v>79</v>
      </c>
      <c r="J8" t="s">
        <v>59</v>
      </c>
      <c r="K8" t="s">
        <v>80</v>
      </c>
      <c r="L8">
        <v>635.5</v>
      </c>
      <c r="O8">
        <v>318.78</v>
      </c>
      <c r="S8" t="s">
        <v>81</v>
      </c>
      <c r="T8" t="s">
        <v>82</v>
      </c>
      <c r="U8" t="s">
        <v>83</v>
      </c>
      <c r="V8" t="s">
        <v>84</v>
      </c>
      <c r="W8" s="2" t="str">
        <f t="shared" si="0"/>
        <v>15.839621367068691</v>
      </c>
      <c r="X8" s="2" t="str">
        <f t="shared" si="1"/>
        <v>74.54363017951177</v>
      </c>
    </row>
    <row r="9" spans="1:24">
      <c r="A9" t="s">
        <v>85</v>
      </c>
      <c r="B9" t="s">
        <v>86</v>
      </c>
      <c r="C9" t="s">
        <v>57</v>
      </c>
      <c r="D9" t="s">
        <v>27</v>
      </c>
      <c r="E9">
        <v>1475</v>
      </c>
      <c r="G9" t="s">
        <v>87</v>
      </c>
      <c r="H9" t="s">
        <v>78</v>
      </c>
      <c r="J9" t="s">
        <v>59</v>
      </c>
      <c r="K9" t="s">
        <v>88</v>
      </c>
      <c r="L9">
        <v>35.43</v>
      </c>
      <c r="M9" t="s">
        <v>89</v>
      </c>
      <c r="N9">
        <v>79</v>
      </c>
      <c r="O9">
        <v>94.51</v>
      </c>
      <c r="P9">
        <v>100</v>
      </c>
      <c r="Q9">
        <v>15.51</v>
      </c>
      <c r="S9" t="s">
        <v>90</v>
      </c>
      <c r="U9" t="s">
        <v>91</v>
      </c>
      <c r="V9" t="s">
        <v>92</v>
      </c>
      <c r="W9" s="2" t="str">
        <f t="shared" si="0"/>
        <v>15.79420360801706</v>
      </c>
      <c r="X9" s="2" t="str">
        <f t="shared" si="1"/>
        <v>74.48409626573054</v>
      </c>
    </row>
    <row r="10" spans="1:24">
      <c r="A10" t="s">
        <v>93</v>
      </c>
      <c r="B10" t="s">
        <v>47</v>
      </c>
      <c r="C10" t="s">
        <v>39</v>
      </c>
      <c r="D10" t="s">
        <v>27</v>
      </c>
      <c r="E10">
        <v>52700</v>
      </c>
      <c r="F10">
        <v>6.3</v>
      </c>
      <c r="G10" t="s">
        <v>94</v>
      </c>
      <c r="H10" t="s">
        <v>29</v>
      </c>
      <c r="I10" t="s">
        <v>95</v>
      </c>
      <c r="J10" t="s">
        <v>59</v>
      </c>
      <c r="K10" t="s">
        <v>96</v>
      </c>
      <c r="L10">
        <v>2488.97</v>
      </c>
      <c r="M10" t="s">
        <v>97</v>
      </c>
      <c r="N10">
        <v>3572</v>
      </c>
      <c r="O10">
        <v>3120.85</v>
      </c>
      <c r="P10">
        <v>87.4</v>
      </c>
      <c r="Q10">
        <v>-451.15</v>
      </c>
      <c r="S10" t="s">
        <v>98</v>
      </c>
      <c r="T10" t="s">
        <v>99</v>
      </c>
      <c r="V10" t="s">
        <v>100</v>
      </c>
      <c r="W10" s="2" t="str">
        <f t="shared" si="0"/>
        <v>16.60908525256784</v>
      </c>
      <c r="X10" s="2" t="str">
        <f t="shared" si="1"/>
        <v>75.26555065594523</v>
      </c>
    </row>
    <row r="11" spans="1:24">
      <c r="A11" t="s">
        <v>101</v>
      </c>
      <c r="B11" t="s">
        <v>47</v>
      </c>
      <c r="C11" t="s">
        <v>39</v>
      </c>
      <c r="D11" t="s">
        <v>27</v>
      </c>
      <c r="E11">
        <v>27462</v>
      </c>
      <c r="F11">
        <v>4</v>
      </c>
      <c r="G11" t="s">
        <v>102</v>
      </c>
      <c r="H11" t="s">
        <v>103</v>
      </c>
      <c r="I11" t="s">
        <v>104</v>
      </c>
      <c r="J11" t="s">
        <v>105</v>
      </c>
      <c r="K11" t="s">
        <v>106</v>
      </c>
      <c r="L11">
        <v>1120.36</v>
      </c>
      <c r="O11">
        <v>1101.93</v>
      </c>
      <c r="S11" t="s">
        <v>107</v>
      </c>
      <c r="U11" t="s">
        <v>108</v>
      </c>
      <c r="V11" t="s">
        <v>109</v>
      </c>
      <c r="W11" s="2" t="str">
        <f t="shared" si="0"/>
        <v>16.759283053512963</v>
      </c>
      <c r="X11" s="2" t="str">
        <f t="shared" si="1"/>
        <v>74.89678139852218</v>
      </c>
    </row>
    <row r="12" spans="1:24">
      <c r="A12" t="s">
        <v>110</v>
      </c>
      <c r="B12" t="s">
        <v>47</v>
      </c>
      <c r="C12" t="s">
        <v>39</v>
      </c>
      <c r="D12" t="s">
        <v>40</v>
      </c>
      <c r="E12">
        <v>7200</v>
      </c>
      <c r="I12" t="s">
        <v>111</v>
      </c>
      <c r="J12" t="s">
        <v>59</v>
      </c>
      <c r="K12" t="s">
        <v>112</v>
      </c>
      <c r="L12">
        <v>174.42</v>
      </c>
      <c r="O12">
        <v>112.88</v>
      </c>
      <c r="U12" t="s">
        <v>113</v>
      </c>
      <c r="V12" t="s">
        <v>114</v>
      </c>
      <c r="W12" s="2" t="str">
        <f t="shared" si="0"/>
        <v>15.53282825122386</v>
      </c>
      <c r="X12" s="2" t="str">
        <f t="shared" si="1"/>
        <v>79.95283410693416</v>
      </c>
    </row>
    <row r="13" spans="1:24">
      <c r="A13" t="s">
        <v>115</v>
      </c>
      <c r="B13" t="s">
        <v>25</v>
      </c>
      <c r="C13" t="s">
        <v>57</v>
      </c>
      <c r="D13" t="s">
        <v>40</v>
      </c>
      <c r="E13">
        <v>11481</v>
      </c>
      <c r="J13" t="s">
        <v>116</v>
      </c>
      <c r="S13" t="s">
        <v>117</v>
      </c>
      <c r="T13" t="s">
        <v>118</v>
      </c>
      <c r="U13" t="s">
        <v>119</v>
      </c>
      <c r="V13" t="s">
        <v>120</v>
      </c>
      <c r="W13" s="2" t="str">
        <f t="shared" si="0"/>
        <v>16.42947614304262</v>
      </c>
      <c r="X13" s="2" t="str">
        <f t="shared" si="1"/>
        <v>74.58781239217092</v>
      </c>
    </row>
    <row r="14" spans="1:24">
      <c r="A14" t="s">
        <v>121</v>
      </c>
      <c r="B14" t="s">
        <v>122</v>
      </c>
      <c r="C14" t="s">
        <v>39</v>
      </c>
      <c r="D14" t="s">
        <v>27</v>
      </c>
      <c r="G14" t="s">
        <v>94</v>
      </c>
      <c r="H14" t="s">
        <v>78</v>
      </c>
      <c r="I14" t="s">
        <v>123</v>
      </c>
      <c r="J14" t="s">
        <v>124</v>
      </c>
      <c r="K14" t="s">
        <v>125</v>
      </c>
      <c r="L14">
        <v>91.4</v>
      </c>
      <c r="O14">
        <v>87.73</v>
      </c>
      <c r="S14" t="s">
        <v>126</v>
      </c>
      <c r="U14" t="s">
        <v>127</v>
      </c>
      <c r="V14" t="s">
        <v>128</v>
      </c>
      <c r="W14" s="2" t="str">
        <f t="shared" si="0"/>
        <v>16.493907682224865</v>
      </c>
      <c r="X14" s="2" t="str">
        <f t="shared" si="1"/>
        <v>74.77419374318471</v>
      </c>
    </row>
    <row r="15" spans="1:24">
      <c r="A15" t="s">
        <v>129</v>
      </c>
      <c r="B15" t="s">
        <v>122</v>
      </c>
      <c r="C15" t="s">
        <v>39</v>
      </c>
      <c r="D15" t="s">
        <v>27</v>
      </c>
      <c r="G15" t="s">
        <v>94</v>
      </c>
      <c r="H15" t="s">
        <v>78</v>
      </c>
      <c r="I15" t="s">
        <v>123</v>
      </c>
      <c r="J15" t="s">
        <v>130</v>
      </c>
      <c r="K15" t="s">
        <v>131</v>
      </c>
      <c r="L15">
        <v>34.38</v>
      </c>
      <c r="O15">
        <v>24.43</v>
      </c>
      <c r="S15" t="s">
        <v>132</v>
      </c>
      <c r="U15" t="s">
        <v>133</v>
      </c>
      <c r="V15" t="s">
        <v>134</v>
      </c>
      <c r="W15" s="2" t="str">
        <f t="shared" si="0"/>
        <v>16.494236876936696</v>
      </c>
      <c r="X15" s="2" t="str">
        <f t="shared" si="1"/>
        <v>74.77166173800092</v>
      </c>
    </row>
    <row r="16" spans="1:24">
      <c r="A16" t="s">
        <v>135</v>
      </c>
      <c r="B16" t="s">
        <v>47</v>
      </c>
      <c r="C16" t="s">
        <v>39</v>
      </c>
      <c r="D16" t="s">
        <v>40</v>
      </c>
      <c r="E16">
        <v>9163.63</v>
      </c>
      <c r="F16">
        <v>0.88</v>
      </c>
      <c r="G16" t="s">
        <v>94</v>
      </c>
      <c r="I16" t="s">
        <v>136</v>
      </c>
      <c r="J16" t="s">
        <v>137</v>
      </c>
      <c r="K16" t="s">
        <v>138</v>
      </c>
      <c r="L16">
        <v>73.75</v>
      </c>
      <c r="O16">
        <v>29.77</v>
      </c>
      <c r="T16" t="s">
        <v>139</v>
      </c>
      <c r="U16" t="s">
        <v>140</v>
      </c>
      <c r="V16" t="s">
        <v>141</v>
      </c>
      <c r="W16" s="2" t="str">
        <f t="shared" si="0"/>
        <v>16.526395608448315</v>
      </c>
      <c r="X16" s="2" t="str">
        <f t="shared" si="1"/>
        <v>75.16410046513404</v>
      </c>
    </row>
    <row r="17" spans="1:24">
      <c r="A17" t="s">
        <v>142</v>
      </c>
      <c r="B17" t="s">
        <v>47</v>
      </c>
      <c r="C17" t="s">
        <v>57</v>
      </c>
      <c r="D17" t="s">
        <v>40</v>
      </c>
      <c r="E17">
        <v>2568.42</v>
      </c>
      <c r="F17">
        <v>0.471</v>
      </c>
      <c r="G17" t="s">
        <v>143</v>
      </c>
      <c r="I17" t="s">
        <v>144</v>
      </c>
      <c r="J17" t="s">
        <v>59</v>
      </c>
      <c r="K17" t="s">
        <v>145</v>
      </c>
      <c r="L17">
        <v>107.16</v>
      </c>
      <c r="O17">
        <v>82.3</v>
      </c>
      <c r="U17" t="s">
        <v>146</v>
      </c>
      <c r="V17" t="s">
        <v>147</v>
      </c>
      <c r="W17" s="2" t="str">
        <f t="shared" si="0"/>
        <v>16.132090447674646</v>
      </c>
      <c r="X17" s="2" t="str">
        <f t="shared" si="1"/>
        <v>74.7303142394568</v>
      </c>
    </row>
    <row r="18" spans="1:24">
      <c r="A18" t="s">
        <v>148</v>
      </c>
      <c r="B18" t="s">
        <v>25</v>
      </c>
      <c r="C18" t="s">
        <v>57</v>
      </c>
      <c r="D18" t="s">
        <v>27</v>
      </c>
      <c r="E18">
        <v>7448</v>
      </c>
      <c r="F18">
        <v>1.244</v>
      </c>
      <c r="G18" t="s">
        <v>149</v>
      </c>
      <c r="H18" t="s">
        <v>150</v>
      </c>
      <c r="I18" t="s">
        <v>151</v>
      </c>
      <c r="J18" t="s">
        <v>152</v>
      </c>
      <c r="K18" t="s">
        <v>153</v>
      </c>
      <c r="L18">
        <v>32</v>
      </c>
      <c r="O18">
        <v>42.29</v>
      </c>
      <c r="S18" t="s">
        <v>154</v>
      </c>
      <c r="U18" t="s">
        <v>155</v>
      </c>
      <c r="V18" t="s">
        <v>156</v>
      </c>
      <c r="W18" s="2" t="str">
        <f t="shared" si="0"/>
        <v>16.340483490618055</v>
      </c>
      <c r="X18" s="2" t="str">
        <f t="shared" si="1"/>
        <v>75.6296681619161</v>
      </c>
    </row>
    <row r="19" spans="1:24">
      <c r="A19" t="s">
        <v>157</v>
      </c>
      <c r="B19" t="s">
        <v>122</v>
      </c>
      <c r="C19" t="s">
        <v>39</v>
      </c>
      <c r="D19" t="s">
        <v>40</v>
      </c>
      <c r="H19" t="s">
        <v>71</v>
      </c>
      <c r="I19" t="s">
        <v>158</v>
      </c>
      <c r="J19" t="s">
        <v>159</v>
      </c>
      <c r="K19" t="s">
        <v>160</v>
      </c>
      <c r="L19">
        <v>248.2</v>
      </c>
      <c r="O19">
        <v>139.97</v>
      </c>
      <c r="S19" t="s">
        <v>161</v>
      </c>
      <c r="U19" t="s">
        <v>162</v>
      </c>
      <c r="V19" t="s">
        <v>163</v>
      </c>
      <c r="W19" s="2" t="str">
        <f t="shared" si="0"/>
        <v>15.598805568573184</v>
      </c>
      <c r="X19" s="2" t="str">
        <f t="shared" si="1"/>
        <v>74.78881764023448</v>
      </c>
    </row>
    <row r="20" spans="1:24">
      <c r="A20" t="s">
        <v>164</v>
      </c>
      <c r="B20" t="s">
        <v>165</v>
      </c>
      <c r="C20" t="s">
        <v>39</v>
      </c>
      <c r="D20" t="s">
        <v>166</v>
      </c>
      <c r="F20">
        <v>0.176</v>
      </c>
      <c r="G20" t="s">
        <v>94</v>
      </c>
      <c r="H20" t="s">
        <v>167</v>
      </c>
      <c r="I20" t="s">
        <v>168</v>
      </c>
      <c r="J20" t="s">
        <v>169</v>
      </c>
      <c r="K20" t="s">
        <v>170</v>
      </c>
      <c r="L20">
        <v>27.93</v>
      </c>
      <c r="S20" t="s">
        <v>171</v>
      </c>
      <c r="U20" t="s">
        <v>172</v>
      </c>
      <c r="V20" t="s">
        <v>173</v>
      </c>
      <c r="W20" s="2" t="str">
        <f t="shared" si="0"/>
        <v>13.69143567745923</v>
      </c>
      <c r="X20" s="2" t="str">
        <f t="shared" si="1"/>
        <v>76.96261758207405</v>
      </c>
    </row>
    <row r="21" spans="1:24">
      <c r="A21" t="s">
        <v>174</v>
      </c>
      <c r="B21" t="s">
        <v>175</v>
      </c>
      <c r="C21" t="s">
        <v>39</v>
      </c>
      <c r="D21" t="s">
        <v>40</v>
      </c>
      <c r="F21">
        <v>5.96</v>
      </c>
      <c r="G21" t="s">
        <v>176</v>
      </c>
      <c r="I21" t="s">
        <v>177</v>
      </c>
      <c r="J21" t="s">
        <v>178</v>
      </c>
      <c r="K21" t="s">
        <v>179</v>
      </c>
      <c r="L21">
        <v>990</v>
      </c>
      <c r="O21">
        <v>9.9</v>
      </c>
      <c r="S21" t="s">
        <v>180</v>
      </c>
      <c r="U21" t="s">
        <v>181</v>
      </c>
      <c r="V21" t="s">
        <v>182</v>
      </c>
      <c r="W21" s="2" t="str">
        <f t="shared" si="0"/>
        <v>16.159074024244315</v>
      </c>
      <c r="X21" s="2" t="str">
        <f t="shared" si="1"/>
        <v>74.81406186736957</v>
      </c>
    </row>
    <row r="22" spans="1:24">
      <c r="A22" t="s">
        <v>183</v>
      </c>
      <c r="B22" t="s">
        <v>47</v>
      </c>
      <c r="C22" t="s">
        <v>39</v>
      </c>
      <c r="D22" t="s">
        <v>40</v>
      </c>
      <c r="E22">
        <v>1200</v>
      </c>
      <c r="F22">
        <v>0.11</v>
      </c>
      <c r="G22" t="s">
        <v>184</v>
      </c>
      <c r="I22" t="s">
        <v>185</v>
      </c>
      <c r="J22" t="s">
        <v>186</v>
      </c>
      <c r="K22" t="s">
        <v>187</v>
      </c>
      <c r="L22">
        <v>66.13</v>
      </c>
      <c r="S22" t="s">
        <v>188</v>
      </c>
      <c r="V22" t="s">
        <v>189</v>
      </c>
      <c r="W22" s="2" t="str">
        <f t="shared" si="0"/>
        <v>16.215847073049098</v>
      </c>
      <c r="X22" s="2" t="str">
        <f t="shared" si="1"/>
        <v>74.35701895323307</v>
      </c>
    </row>
    <row r="23" spans="1:24">
      <c r="A23" t="s">
        <v>190</v>
      </c>
      <c r="B23" t="s">
        <v>47</v>
      </c>
      <c r="C23" t="s">
        <v>39</v>
      </c>
      <c r="D23" t="s">
        <v>40</v>
      </c>
      <c r="E23">
        <v>1200</v>
      </c>
      <c r="F23">
        <v>0.11</v>
      </c>
      <c r="G23" t="s">
        <v>184</v>
      </c>
      <c r="I23" t="s">
        <v>185</v>
      </c>
      <c r="J23" t="s">
        <v>59</v>
      </c>
      <c r="K23" t="s">
        <v>191</v>
      </c>
      <c r="L23">
        <v>67.4</v>
      </c>
      <c r="U23" t="s">
        <v>192</v>
      </c>
      <c r="V23" t="s">
        <v>189</v>
      </c>
      <c r="W23" s="2" t="str">
        <f t="shared" si="0"/>
        <v>16.215847073049098</v>
      </c>
      <c r="X23" s="2" t="str">
        <f t="shared" si="1"/>
        <v>74.35701895323307</v>
      </c>
    </row>
    <row r="24" spans="1:24">
      <c r="A24" t="s">
        <v>193</v>
      </c>
      <c r="B24" t="s">
        <v>47</v>
      </c>
      <c r="C24" t="s">
        <v>39</v>
      </c>
      <c r="D24" t="s">
        <v>27</v>
      </c>
      <c r="E24">
        <v>22918.57</v>
      </c>
      <c r="F24">
        <v>4.03</v>
      </c>
      <c r="G24" t="s">
        <v>94</v>
      </c>
      <c r="H24" t="s">
        <v>194</v>
      </c>
      <c r="I24" t="s">
        <v>195</v>
      </c>
      <c r="J24" t="s">
        <v>196</v>
      </c>
      <c r="K24" t="s">
        <v>197</v>
      </c>
      <c r="L24">
        <v>266</v>
      </c>
      <c r="O24">
        <v>161.91</v>
      </c>
      <c r="T24" t="s">
        <v>198</v>
      </c>
      <c r="U24" t="s">
        <v>199</v>
      </c>
      <c r="V24" t="s">
        <v>200</v>
      </c>
      <c r="W24" s="2" t="str">
        <f t="shared" si="0"/>
        <v>16.56499574461871</v>
      </c>
      <c r="X24" s="2" t="str">
        <f t="shared" si="1"/>
        <v>75.18125584984489</v>
      </c>
    </row>
    <row r="25" spans="1:24">
      <c r="A25" t="s">
        <v>201</v>
      </c>
      <c r="B25" t="s">
        <v>47</v>
      </c>
      <c r="C25" t="s">
        <v>202</v>
      </c>
      <c r="D25" t="s">
        <v>27</v>
      </c>
      <c r="E25">
        <v>9640.7</v>
      </c>
      <c r="F25">
        <v>1.67</v>
      </c>
      <c r="G25" t="s">
        <v>94</v>
      </c>
      <c r="H25" t="s">
        <v>194</v>
      </c>
      <c r="I25" t="s">
        <v>203</v>
      </c>
      <c r="J25" t="s">
        <v>204</v>
      </c>
      <c r="K25" t="s">
        <v>205</v>
      </c>
      <c r="L25">
        <v>209</v>
      </c>
      <c r="T25" t="s">
        <v>206</v>
      </c>
      <c r="U25" t="s">
        <v>207</v>
      </c>
      <c r="V25" t="s">
        <v>208</v>
      </c>
      <c r="W25" s="2" t="str">
        <f t="shared" si="0"/>
        <v>16.60382792571113</v>
      </c>
      <c r="X25" s="2" t="str">
        <f t="shared" si="1"/>
        <v>77.51735261075419</v>
      </c>
    </row>
    <row r="26" spans="1:24">
      <c r="A26" t="s">
        <v>209</v>
      </c>
      <c r="B26" t="s">
        <v>47</v>
      </c>
      <c r="C26" t="s">
        <v>57</v>
      </c>
      <c r="D26" t="s">
        <v>27</v>
      </c>
      <c r="E26">
        <v>12007.14</v>
      </c>
      <c r="F26">
        <v>2.06</v>
      </c>
      <c r="G26" t="s">
        <v>94</v>
      </c>
      <c r="H26" t="s">
        <v>194</v>
      </c>
      <c r="I26" t="s">
        <v>210</v>
      </c>
      <c r="J26" t="s">
        <v>196</v>
      </c>
      <c r="K26" t="s">
        <v>197</v>
      </c>
      <c r="L26">
        <v>228</v>
      </c>
      <c r="O26">
        <v>228.37</v>
      </c>
      <c r="T26" t="s">
        <v>211</v>
      </c>
      <c r="V26" t="s">
        <v>212</v>
      </c>
      <c r="W26" s="2" t="str">
        <f t="shared" si="0"/>
        <v>16.744491800152776</v>
      </c>
      <c r="X26" s="2" t="str">
        <f t="shared" si="1"/>
        <v>74.76937110409536</v>
      </c>
    </row>
    <row r="27" spans="1:24">
      <c r="A27" t="s">
        <v>213</v>
      </c>
      <c r="B27" t="s">
        <v>214</v>
      </c>
      <c r="C27" t="s">
        <v>39</v>
      </c>
      <c r="D27" t="s">
        <v>27</v>
      </c>
      <c r="G27" t="s">
        <v>94</v>
      </c>
      <c r="H27" t="s">
        <v>78</v>
      </c>
      <c r="I27" t="s">
        <v>215</v>
      </c>
      <c r="J27" t="s">
        <v>216</v>
      </c>
      <c r="K27" t="s">
        <v>217</v>
      </c>
      <c r="L27">
        <v>35</v>
      </c>
      <c r="S27" t="s">
        <v>218</v>
      </c>
      <c r="U27" t="s">
        <v>219</v>
      </c>
      <c r="V27" t="s">
        <v>220</v>
      </c>
      <c r="W27" s="2" t="str">
        <f t="shared" si="0"/>
        <v>16.428529390594104</v>
      </c>
      <c r="X27" s="2" t="str">
        <f t="shared" si="1"/>
        <v>74.5884132069603</v>
      </c>
    </row>
    <row r="28" spans="1:24">
      <c r="A28" t="s">
        <v>221</v>
      </c>
      <c r="B28" t="s">
        <v>47</v>
      </c>
      <c r="C28" t="s">
        <v>222</v>
      </c>
      <c r="D28" t="s">
        <v>27</v>
      </c>
      <c r="E28">
        <v>10224.57</v>
      </c>
      <c r="G28" t="s">
        <v>223</v>
      </c>
      <c r="H28" t="s">
        <v>224</v>
      </c>
      <c r="I28" t="s">
        <v>225</v>
      </c>
      <c r="J28" t="s">
        <v>226</v>
      </c>
      <c r="K28" t="s">
        <v>227</v>
      </c>
      <c r="L28">
        <v>243</v>
      </c>
      <c r="S28" t="s">
        <v>228</v>
      </c>
      <c r="T28" t="s">
        <v>229</v>
      </c>
      <c r="U28" t="s">
        <v>230</v>
      </c>
      <c r="V28" t="s">
        <v>231</v>
      </c>
      <c r="W28" s="2" t="str">
        <f t="shared" si="0"/>
        <v>18.825138283636623</v>
      </c>
      <c r="X28" s="2" t="str">
        <f t="shared" si="1"/>
        <v>74.37752721073652</v>
      </c>
    </row>
    <row r="29" spans="1:24">
      <c r="A29" t="s">
        <v>232</v>
      </c>
      <c r="B29" t="s">
        <v>47</v>
      </c>
      <c r="C29" t="s">
        <v>222</v>
      </c>
      <c r="D29" t="s">
        <v>27</v>
      </c>
      <c r="E29">
        <v>14525.43</v>
      </c>
      <c r="G29" t="s">
        <v>223</v>
      </c>
      <c r="H29" t="s">
        <v>224</v>
      </c>
      <c r="I29" t="s">
        <v>225</v>
      </c>
      <c r="J29" t="s">
        <v>59</v>
      </c>
      <c r="K29" t="s">
        <v>233</v>
      </c>
      <c r="L29">
        <v>411</v>
      </c>
      <c r="S29" t="s">
        <v>234</v>
      </c>
      <c r="T29" t="s">
        <v>235</v>
      </c>
      <c r="U29" t="s">
        <v>236</v>
      </c>
      <c r="V29" t="s">
        <v>237</v>
      </c>
      <c r="W29" s="2" t="str">
        <f t="shared" si="0"/>
        <v>16.205299182891828</v>
      </c>
      <c r="X29" s="2" t="str">
        <f t="shared" si="1"/>
        <v>75.50163179481562</v>
      </c>
    </row>
    <row r="30" spans="1:24">
      <c r="A30" t="s">
        <v>238</v>
      </c>
      <c r="B30" t="s">
        <v>122</v>
      </c>
      <c r="C30" t="s">
        <v>222</v>
      </c>
      <c r="D30" t="s">
        <v>40</v>
      </c>
      <c r="I30" t="s">
        <v>239</v>
      </c>
      <c r="J30" t="s">
        <v>240</v>
      </c>
      <c r="K30" t="s">
        <v>241</v>
      </c>
      <c r="L30">
        <v>229.4</v>
      </c>
      <c r="S30" t="s">
        <v>242</v>
      </c>
      <c r="U30" t="s">
        <v>243</v>
      </c>
      <c r="V30" t="s">
        <v>244</v>
      </c>
      <c r="W30" s="2" t="str">
        <f t="shared" si="0"/>
        <v>16.69411974654307</v>
      </c>
      <c r="X30" s="2" t="str">
        <f t="shared" si="1"/>
        <v>74.72233848981406</v>
      </c>
    </row>
    <row r="31" spans="1:24">
      <c r="A31" t="s">
        <v>245</v>
      </c>
      <c r="B31" t="s">
        <v>47</v>
      </c>
      <c r="C31" t="s">
        <v>222</v>
      </c>
      <c r="D31" t="s">
        <v>40</v>
      </c>
      <c r="E31">
        <v>9950</v>
      </c>
      <c r="G31" t="s">
        <v>94</v>
      </c>
      <c r="I31" t="s">
        <v>246</v>
      </c>
      <c r="J31" t="s">
        <v>152</v>
      </c>
      <c r="K31" t="s">
        <v>247</v>
      </c>
      <c r="L31">
        <v>1486.81</v>
      </c>
      <c r="S31" t="s">
        <v>248</v>
      </c>
      <c r="U31" t="s">
        <v>249</v>
      </c>
      <c r="V31" t="s">
        <v>250</v>
      </c>
      <c r="W31" s="2" t="str">
        <f t="shared" si="0"/>
        <v>16.726748138740533</v>
      </c>
      <c r="X31" s="2" t="str">
        <f t="shared" si="1"/>
        <v>75.06118479036815</v>
      </c>
    </row>
    <row r="32" spans="1:24">
      <c r="A32" t="s">
        <v>251</v>
      </c>
      <c r="B32" t="s">
        <v>122</v>
      </c>
      <c r="C32" t="s">
        <v>222</v>
      </c>
      <c r="D32" t="s">
        <v>40</v>
      </c>
      <c r="J32" t="s">
        <v>252</v>
      </c>
      <c r="K32" t="s">
        <v>253</v>
      </c>
      <c r="L32">
        <v>323.87</v>
      </c>
      <c r="S32" t="s">
        <v>254</v>
      </c>
      <c r="U32" t="s">
        <v>255</v>
      </c>
      <c r="V32" t="s">
        <v>256</v>
      </c>
      <c r="W32" s="2" t="str">
        <f t="shared" si="0"/>
        <v>16.221308835082002</v>
      </c>
      <c r="X32" s="2" t="str">
        <f t="shared" si="1"/>
        <v>74.82316027190794</v>
      </c>
    </row>
    <row r="33" spans="1:24">
      <c r="A33" t="s">
        <v>257</v>
      </c>
      <c r="B33" t="s">
        <v>47</v>
      </c>
      <c r="C33" t="s">
        <v>222</v>
      </c>
      <c r="D33" t="s">
        <v>27</v>
      </c>
      <c r="E33">
        <v>3535</v>
      </c>
      <c r="G33" t="s">
        <v>94</v>
      </c>
      <c r="H33" t="s">
        <v>224</v>
      </c>
      <c r="I33" t="s">
        <v>210</v>
      </c>
      <c r="J33" t="s">
        <v>258</v>
      </c>
      <c r="K33" t="s">
        <v>247</v>
      </c>
      <c r="L33">
        <v>197</v>
      </c>
      <c r="S33" t="s">
        <v>259</v>
      </c>
      <c r="T33" t="s">
        <v>260</v>
      </c>
      <c r="U33" t="s">
        <v>261</v>
      </c>
      <c r="V33" t="s">
        <v>262</v>
      </c>
      <c r="W33" s="2" t="str">
        <f t="shared" si="0"/>
        <v>16.326731143863196</v>
      </c>
      <c r="X33" s="2" t="str">
        <f t="shared" si="1"/>
        <v>75.2602991178786</v>
      </c>
    </row>
    <row r="34" spans="1:24">
      <c r="A34" t="s">
        <v>263</v>
      </c>
      <c r="B34" t="s">
        <v>47</v>
      </c>
      <c r="C34" t="s">
        <v>222</v>
      </c>
      <c r="D34" t="s">
        <v>27</v>
      </c>
      <c r="E34">
        <v>11600</v>
      </c>
      <c r="G34" t="s">
        <v>176</v>
      </c>
      <c r="H34" t="s">
        <v>78</v>
      </c>
      <c r="I34" t="s">
        <v>264</v>
      </c>
      <c r="J34" t="s">
        <v>265</v>
      </c>
      <c r="K34" t="s">
        <v>253</v>
      </c>
      <c r="L34">
        <v>520</v>
      </c>
      <c r="U34" t="s">
        <v>266</v>
      </c>
      <c r="V34" t="s">
        <v>267</v>
      </c>
      <c r="W34" s="2" t="str">
        <f t="shared" si="0"/>
        <v>16.359764121226394</v>
      </c>
      <c r="X34" s="2" t="str">
        <f t="shared" si="1"/>
        <v>75.42533367699858</v>
      </c>
    </row>
    <row r="35" spans="1:24">
      <c r="A35" t="s">
        <v>268</v>
      </c>
      <c r="B35" t="s">
        <v>47</v>
      </c>
      <c r="C35" t="s">
        <v>222</v>
      </c>
      <c r="D35" t="s">
        <v>27</v>
      </c>
      <c r="E35">
        <v>6400</v>
      </c>
      <c r="F35">
        <v>0.92</v>
      </c>
      <c r="G35" t="s">
        <v>269</v>
      </c>
      <c r="H35" t="s">
        <v>103</v>
      </c>
      <c r="I35" t="s">
        <v>270</v>
      </c>
      <c r="J35" t="s">
        <v>271</v>
      </c>
      <c r="K35" t="s">
        <v>247</v>
      </c>
      <c r="L35">
        <v>382.3</v>
      </c>
      <c r="S35" t="s">
        <v>272</v>
      </c>
      <c r="U35" t="s">
        <v>273</v>
      </c>
      <c r="V35" t="s">
        <v>274</v>
      </c>
      <c r="W35" s="2" t="str">
        <f t="shared" ref="W35:W66" si="2">TRIM(LEFT(V35,FIND(",",V35)-1))</f>
        <v>16.559511361419876</v>
      </c>
      <c r="X35" s="2" t="str">
        <f t="shared" ref="X35:X66" si="3">TRIM(MID(V35,FIND(",",V35)+1,LEN(V35)))</f>
        <v>74.4461024570623</v>
      </c>
    </row>
    <row r="36" spans="1:24">
      <c r="A36" t="s">
        <v>275</v>
      </c>
      <c r="B36" t="s">
        <v>276</v>
      </c>
      <c r="C36" t="s">
        <v>39</v>
      </c>
      <c r="D36" t="s">
        <v>40</v>
      </c>
      <c r="E36">
        <v>2035</v>
      </c>
      <c r="F36">
        <v>0.39</v>
      </c>
      <c r="I36" t="s">
        <v>277</v>
      </c>
      <c r="J36" t="s">
        <v>278</v>
      </c>
      <c r="K36" t="s">
        <v>279</v>
      </c>
      <c r="L36">
        <v>216.5</v>
      </c>
      <c r="S36" t="s">
        <v>280</v>
      </c>
      <c r="U36" t="s">
        <v>281</v>
      </c>
      <c r="V36" t="s">
        <v>282</v>
      </c>
      <c r="W36" s="2" t="str">
        <f t="shared" si="2"/>
        <v>16.425100094464558</v>
      </c>
      <c r="X36" s="2" t="str">
        <f t="shared" si="3"/>
        <v>75.339212128934</v>
      </c>
    </row>
    <row r="37" spans="1:24">
      <c r="A37" t="s">
        <v>283</v>
      </c>
      <c r="B37" t="s">
        <v>47</v>
      </c>
      <c r="C37" t="s">
        <v>39</v>
      </c>
      <c r="D37" t="s">
        <v>40</v>
      </c>
      <c r="E37">
        <v>8750</v>
      </c>
      <c r="G37" t="s">
        <v>223</v>
      </c>
      <c r="H37" t="s">
        <v>71</v>
      </c>
      <c r="I37" t="s">
        <v>210</v>
      </c>
      <c r="J37" t="s">
        <v>226</v>
      </c>
      <c r="K37" t="s">
        <v>284</v>
      </c>
      <c r="L37">
        <v>265</v>
      </c>
      <c r="S37" t="s">
        <v>285</v>
      </c>
      <c r="T37" t="s">
        <v>286</v>
      </c>
      <c r="U37" t="s">
        <v>287</v>
      </c>
      <c r="V37" t="s">
        <v>288</v>
      </c>
      <c r="W37" s="2" t="str">
        <f t="shared" si="2"/>
        <v>16.133879432414318</v>
      </c>
      <c r="X37" s="2" t="str">
        <f t="shared" si="3"/>
        <v>75.41307444614283</v>
      </c>
    </row>
    <row r="38" spans="1:24">
      <c r="A38" t="s">
        <v>289</v>
      </c>
      <c r="B38" t="s">
        <v>47</v>
      </c>
      <c r="C38" t="s">
        <v>39</v>
      </c>
      <c r="D38" t="s">
        <v>40</v>
      </c>
      <c r="E38">
        <v>8390</v>
      </c>
      <c r="G38" t="s">
        <v>94</v>
      </c>
      <c r="I38" t="s">
        <v>290</v>
      </c>
      <c r="J38" t="s">
        <v>291</v>
      </c>
      <c r="K38" t="s">
        <v>292</v>
      </c>
      <c r="L38">
        <v>567</v>
      </c>
      <c r="T38" t="s">
        <v>293</v>
      </c>
      <c r="U38" t="s">
        <v>294</v>
      </c>
      <c r="V38" t="s">
        <v>295</v>
      </c>
      <c r="W38" s="2" t="str">
        <f t="shared" si="2"/>
        <v>16.336788142266094</v>
      </c>
      <c r="X38" s="2" t="str">
        <f t="shared" si="3"/>
        <v>74.6333993223032</v>
      </c>
    </row>
    <row r="39" spans="1:24">
      <c r="A39" t="s">
        <v>296</v>
      </c>
      <c r="B39" t="s">
        <v>297</v>
      </c>
      <c r="C39" t="s">
        <v>222</v>
      </c>
      <c r="D39" t="s">
        <v>40</v>
      </c>
      <c r="G39" t="s">
        <v>223</v>
      </c>
      <c r="I39" t="s">
        <v>298</v>
      </c>
      <c r="J39" t="s">
        <v>299</v>
      </c>
      <c r="K39" t="s">
        <v>292</v>
      </c>
      <c r="L39">
        <v>685</v>
      </c>
      <c r="U39" t="s">
        <v>300</v>
      </c>
      <c r="V39" t="s">
        <v>301</v>
      </c>
      <c r="W39" s="2" t="str">
        <f t="shared" si="2"/>
        <v>16.339847875005827</v>
      </c>
      <c r="X39" s="2" t="str">
        <f t="shared" si="3"/>
        <v>75.25789491743272</v>
      </c>
    </row>
    <row r="40" spans="1:24">
      <c r="A40" t="s">
        <v>302</v>
      </c>
      <c r="B40" t="s">
        <v>122</v>
      </c>
      <c r="C40" t="s">
        <v>39</v>
      </c>
      <c r="D40" t="s">
        <v>40</v>
      </c>
      <c r="G40" t="s">
        <v>303</v>
      </c>
      <c r="J40" t="s">
        <v>304</v>
      </c>
      <c r="K40" t="s">
        <v>305</v>
      </c>
      <c r="L40">
        <v>287.55</v>
      </c>
      <c r="R40">
        <v>200</v>
      </c>
      <c r="S40" t="s">
        <v>306</v>
      </c>
      <c r="U40" t="s">
        <v>307</v>
      </c>
      <c r="V40" t="s">
        <v>308</v>
      </c>
      <c r="W40" s="2" t="str">
        <f t="shared" si="2"/>
        <v>16.16340195325057</v>
      </c>
      <c r="X40" s="2" t="str">
        <f t="shared" si="3"/>
        <v>74.79506869083316</v>
      </c>
    </row>
    <row r="41" spans="1:24">
      <c r="A41" t="s">
        <v>309</v>
      </c>
      <c r="B41" t="s">
        <v>25</v>
      </c>
      <c r="C41" t="s">
        <v>57</v>
      </c>
      <c r="D41" t="s">
        <v>27</v>
      </c>
      <c r="E41">
        <v>196132</v>
      </c>
      <c r="G41" t="s">
        <v>310</v>
      </c>
      <c r="H41" t="s">
        <v>311</v>
      </c>
      <c r="I41" t="s">
        <v>312</v>
      </c>
      <c r="J41" t="s">
        <v>313</v>
      </c>
      <c r="K41" t="s">
        <v>314</v>
      </c>
      <c r="L41">
        <v>1120</v>
      </c>
      <c r="M41" t="s">
        <v>315</v>
      </c>
      <c r="N41">
        <v>1000</v>
      </c>
      <c r="O41">
        <v>2132.02</v>
      </c>
      <c r="P41">
        <v>100</v>
      </c>
      <c r="Q41">
        <v>1132.02</v>
      </c>
      <c r="S41" t="s">
        <v>316</v>
      </c>
      <c r="T41" t="s">
        <v>317</v>
      </c>
      <c r="U41" t="s">
        <v>318</v>
      </c>
      <c r="V41" t="s">
        <v>319</v>
      </c>
      <c r="W41" s="2" t="str">
        <f t="shared" si="2"/>
        <v>15.769593344316664</v>
      </c>
      <c r="X41" s="2" t="str">
        <f t="shared" si="3"/>
        <v>74.90200465009922</v>
      </c>
    </row>
    <row r="42" spans="1:24">
      <c r="A42" t="s">
        <v>320</v>
      </c>
      <c r="B42" t="s">
        <v>321</v>
      </c>
      <c r="C42" t="s">
        <v>202</v>
      </c>
      <c r="D42" t="s">
        <v>40</v>
      </c>
      <c r="F42">
        <v>3.9</v>
      </c>
      <c r="G42" t="s">
        <v>322</v>
      </c>
      <c r="J42" t="s">
        <v>323</v>
      </c>
      <c r="K42" t="s">
        <v>284</v>
      </c>
      <c r="L42">
        <v>995.3</v>
      </c>
      <c r="S42" t="s">
        <v>324</v>
      </c>
      <c r="U42" t="s">
        <v>325</v>
      </c>
      <c r="V42" t="s">
        <v>326</v>
      </c>
      <c r="W42" s="2" t="str">
        <f t="shared" si="2"/>
        <v>15.493663227505415</v>
      </c>
      <c r="X42" s="2" t="str">
        <f t="shared" si="3"/>
        <v>74.04845651630018</v>
      </c>
    </row>
    <row r="43" spans="1:24">
      <c r="A43" t="s">
        <v>327</v>
      </c>
      <c r="B43" t="s">
        <v>47</v>
      </c>
      <c r="C43" t="s">
        <v>328</v>
      </c>
      <c r="D43" t="s">
        <v>329</v>
      </c>
      <c r="E43">
        <v>13500</v>
      </c>
      <c r="H43" t="s">
        <v>330</v>
      </c>
      <c r="I43" t="s">
        <v>331</v>
      </c>
      <c r="J43" t="s">
        <v>332</v>
      </c>
      <c r="O43">
        <v>511.95</v>
      </c>
      <c r="S43" t="s">
        <v>333</v>
      </c>
      <c r="U43" t="s">
        <v>334</v>
      </c>
      <c r="V43" t="s">
        <v>335</v>
      </c>
      <c r="W43" s="2" t="str">
        <f t="shared" si="2"/>
        <v>15.436303545147702</v>
      </c>
      <c r="X43" s="2" t="str">
        <f t="shared" si="3"/>
        <v>75.02803653873917</v>
      </c>
    </row>
    <row r="44" spans="1:24">
      <c r="A44" t="s">
        <v>336</v>
      </c>
      <c r="B44" t="s">
        <v>47</v>
      </c>
      <c r="C44" t="s">
        <v>39</v>
      </c>
      <c r="D44" t="s">
        <v>40</v>
      </c>
      <c r="E44">
        <v>15500</v>
      </c>
      <c r="F44">
        <v>1.5</v>
      </c>
      <c r="G44" t="s">
        <v>337</v>
      </c>
      <c r="I44" t="s">
        <v>338</v>
      </c>
      <c r="J44" t="s">
        <v>339</v>
      </c>
      <c r="O44">
        <v>262.66</v>
      </c>
      <c r="S44" t="s">
        <v>340</v>
      </c>
      <c r="U44" t="s">
        <v>341</v>
      </c>
      <c r="V44" t="s">
        <v>342</v>
      </c>
      <c r="W44" s="2" t="str">
        <f t="shared" si="2"/>
        <v>14.481721611776308</v>
      </c>
      <c r="X44" s="2" t="str">
        <f t="shared" si="3"/>
        <v>75.00990765437567</v>
      </c>
    </row>
    <row r="45" spans="1:24">
      <c r="A45" t="s">
        <v>343</v>
      </c>
      <c r="B45" t="s">
        <v>25</v>
      </c>
      <c r="C45" t="s">
        <v>57</v>
      </c>
      <c r="D45" t="s">
        <v>27</v>
      </c>
      <c r="E45">
        <v>5877</v>
      </c>
      <c r="G45" t="s">
        <v>344</v>
      </c>
      <c r="H45" t="s">
        <v>78</v>
      </c>
      <c r="I45" t="s">
        <v>345</v>
      </c>
      <c r="J45" t="s">
        <v>59</v>
      </c>
      <c r="K45" t="s">
        <v>346</v>
      </c>
      <c r="L45">
        <v>101.04</v>
      </c>
      <c r="S45" t="s">
        <v>347</v>
      </c>
      <c r="T45" t="s">
        <v>348</v>
      </c>
      <c r="U45" t="s">
        <v>349</v>
      </c>
      <c r="V45" t="s">
        <v>350</v>
      </c>
      <c r="W45" s="2" t="str">
        <f t="shared" si="2"/>
        <v>15.93681686710636</v>
      </c>
      <c r="X45" s="2" t="str">
        <f t="shared" si="3"/>
        <v>75.35125965408771</v>
      </c>
    </row>
    <row r="46" spans="1:24">
      <c r="A46" t="s">
        <v>351</v>
      </c>
      <c r="B46" t="s">
        <v>122</v>
      </c>
      <c r="C46" t="s">
        <v>39</v>
      </c>
      <c r="D46" t="s">
        <v>329</v>
      </c>
      <c r="F46">
        <v>0.164</v>
      </c>
      <c r="G46" t="s">
        <v>352</v>
      </c>
      <c r="H46" t="s">
        <v>353</v>
      </c>
      <c r="I46" t="s">
        <v>353</v>
      </c>
      <c r="J46" t="s">
        <v>354</v>
      </c>
      <c r="K46" t="s">
        <v>355</v>
      </c>
      <c r="L46">
        <v>22.5</v>
      </c>
      <c r="S46" t="s">
        <v>356</v>
      </c>
      <c r="U46" t="s">
        <v>357</v>
      </c>
      <c r="V46" t="s">
        <v>358</v>
      </c>
      <c r="W46" s="2" t="str">
        <f t="shared" si="2"/>
        <v>15.580785296278908</v>
      </c>
      <c r="X46" s="2" t="str">
        <f t="shared" si="3"/>
        <v>74.92548408291866</v>
      </c>
    </row>
    <row r="47" spans="1:24">
      <c r="A47" t="s">
        <v>359</v>
      </c>
      <c r="B47" t="s">
        <v>122</v>
      </c>
      <c r="C47" t="s">
        <v>39</v>
      </c>
      <c r="D47" t="s">
        <v>166</v>
      </c>
      <c r="F47">
        <v>0.812</v>
      </c>
      <c r="G47" t="s">
        <v>360</v>
      </c>
      <c r="H47" t="s">
        <v>361</v>
      </c>
      <c r="I47" t="s">
        <v>362</v>
      </c>
      <c r="J47" t="s">
        <v>363</v>
      </c>
      <c r="K47" t="s">
        <v>364</v>
      </c>
      <c r="L47">
        <v>220</v>
      </c>
      <c r="O47">
        <v>127.39</v>
      </c>
      <c r="S47" t="s">
        <v>365</v>
      </c>
      <c r="V47" t="s">
        <v>366</v>
      </c>
      <c r="W47" s="2" t="str">
        <f t="shared" si="2"/>
        <v>14.873971566853449</v>
      </c>
      <c r="X47" s="2" t="str">
        <f t="shared" si="3"/>
        <v>74.24205471766253</v>
      </c>
    </row>
    <row r="48" spans="1:24">
      <c r="A48" t="s">
        <v>367</v>
      </c>
      <c r="B48" t="s">
        <v>368</v>
      </c>
      <c r="C48" t="s">
        <v>39</v>
      </c>
      <c r="D48" t="s">
        <v>329</v>
      </c>
      <c r="F48">
        <v>0.449</v>
      </c>
      <c r="G48" t="s">
        <v>369</v>
      </c>
      <c r="H48" t="s">
        <v>353</v>
      </c>
      <c r="I48" t="s">
        <v>370</v>
      </c>
      <c r="J48" t="s">
        <v>371</v>
      </c>
      <c r="K48" t="s">
        <v>314</v>
      </c>
      <c r="L48">
        <v>125</v>
      </c>
      <c r="O48">
        <v>71.51</v>
      </c>
      <c r="S48" t="s">
        <v>372</v>
      </c>
      <c r="U48" t="s">
        <v>373</v>
      </c>
      <c r="V48" t="s">
        <v>374</v>
      </c>
      <c r="W48" s="2" t="str">
        <f t="shared" si="2"/>
        <v>14.902044386295255</v>
      </c>
      <c r="X48" s="2" t="str">
        <f t="shared" si="3"/>
        <v>74.79146179448779</v>
      </c>
    </row>
    <row r="49" spans="1:24">
      <c r="A49" t="s">
        <v>375</v>
      </c>
      <c r="B49" t="s">
        <v>122</v>
      </c>
      <c r="C49" t="s">
        <v>39</v>
      </c>
      <c r="D49" t="s">
        <v>166</v>
      </c>
      <c r="F49">
        <v>1.48</v>
      </c>
      <c r="G49" t="s">
        <v>376</v>
      </c>
      <c r="H49" t="s">
        <v>377</v>
      </c>
      <c r="I49" t="s">
        <v>378</v>
      </c>
      <c r="J49" t="s">
        <v>379</v>
      </c>
      <c r="K49" t="s">
        <v>380</v>
      </c>
      <c r="L49">
        <v>289.1</v>
      </c>
      <c r="O49">
        <v>156.6</v>
      </c>
      <c r="S49" t="s">
        <v>381</v>
      </c>
      <c r="U49" t="s">
        <v>382</v>
      </c>
      <c r="V49" t="s">
        <v>383</v>
      </c>
      <c r="W49" s="2" t="str">
        <f t="shared" si="2"/>
        <v>14.89412578624326</v>
      </c>
      <c r="X49" s="2" t="str">
        <f t="shared" si="3"/>
        <v>74.78872916808659</v>
      </c>
    </row>
    <row r="50" spans="1:24">
      <c r="A50" t="s">
        <v>384</v>
      </c>
      <c r="B50" t="s">
        <v>122</v>
      </c>
      <c r="C50" t="s">
        <v>57</v>
      </c>
      <c r="D50" t="s">
        <v>166</v>
      </c>
      <c r="F50">
        <v>0.2</v>
      </c>
      <c r="G50" t="s">
        <v>376</v>
      </c>
      <c r="H50" t="s">
        <v>385</v>
      </c>
      <c r="I50" t="s">
        <v>386</v>
      </c>
      <c r="J50" t="s">
        <v>387</v>
      </c>
      <c r="K50" t="s">
        <v>388</v>
      </c>
      <c r="L50">
        <v>225</v>
      </c>
      <c r="O50">
        <v>166.84</v>
      </c>
      <c r="S50" t="s">
        <v>389</v>
      </c>
      <c r="T50" t="s">
        <v>390</v>
      </c>
      <c r="U50" t="s">
        <v>391</v>
      </c>
      <c r="V50" t="s">
        <v>392</v>
      </c>
      <c r="W50" s="2" t="str">
        <f t="shared" si="2"/>
        <v>14.89674213454341</v>
      </c>
      <c r="X50" s="2" t="str">
        <f t="shared" si="3"/>
        <v>74.78390233443622</v>
      </c>
    </row>
    <row r="51" spans="1:24">
      <c r="A51" t="s">
        <v>393</v>
      </c>
      <c r="B51" t="s">
        <v>122</v>
      </c>
      <c r="C51" t="s">
        <v>39</v>
      </c>
      <c r="D51" t="s">
        <v>166</v>
      </c>
      <c r="F51">
        <v>0.469</v>
      </c>
      <c r="G51" t="s">
        <v>344</v>
      </c>
      <c r="H51" t="s">
        <v>167</v>
      </c>
      <c r="J51" t="s">
        <v>394</v>
      </c>
      <c r="K51" t="s">
        <v>395</v>
      </c>
      <c r="L51">
        <v>379.92</v>
      </c>
      <c r="M51" t="s">
        <v>305</v>
      </c>
      <c r="N51">
        <v>519.1</v>
      </c>
      <c r="O51">
        <v>46.19</v>
      </c>
      <c r="P51">
        <v>8.9</v>
      </c>
      <c r="Q51">
        <v>-472.91</v>
      </c>
      <c r="S51" t="s">
        <v>396</v>
      </c>
      <c r="U51" t="s">
        <v>397</v>
      </c>
      <c r="V51" t="s">
        <v>398</v>
      </c>
      <c r="W51" s="2" t="str">
        <f t="shared" si="2"/>
        <v>16.159448059293116</v>
      </c>
      <c r="X51" s="2" t="str">
        <f t="shared" si="3"/>
        <v>74.79148378689973</v>
      </c>
    </row>
    <row r="52" spans="1:24">
      <c r="A52" t="s">
        <v>399</v>
      </c>
      <c r="B52" t="s">
        <v>122</v>
      </c>
      <c r="C52" t="s">
        <v>222</v>
      </c>
      <c r="D52" t="s">
        <v>27</v>
      </c>
      <c r="F52">
        <v>0.175</v>
      </c>
      <c r="G52" t="s">
        <v>176</v>
      </c>
      <c r="H52" t="s">
        <v>78</v>
      </c>
      <c r="I52" t="s">
        <v>78</v>
      </c>
      <c r="J52" t="s">
        <v>400</v>
      </c>
      <c r="K52" t="s">
        <v>401</v>
      </c>
      <c r="L52">
        <v>143.53</v>
      </c>
      <c r="S52" t="s">
        <v>402</v>
      </c>
      <c r="U52" t="s">
        <v>403</v>
      </c>
      <c r="V52" t="s">
        <v>404</v>
      </c>
      <c r="W52" s="2" t="str">
        <f t="shared" si="2"/>
        <v>16.167168539092145</v>
      </c>
      <c r="X52" s="2" t="str">
        <f t="shared" si="3"/>
        <v>74.80358808902484</v>
      </c>
    </row>
    <row r="53" spans="1:24">
      <c r="A53" t="s">
        <v>405</v>
      </c>
      <c r="B53" t="s">
        <v>297</v>
      </c>
      <c r="C53" t="s">
        <v>39</v>
      </c>
      <c r="D53" t="s">
        <v>40</v>
      </c>
      <c r="G53" t="s">
        <v>344</v>
      </c>
      <c r="I53" t="s">
        <v>406</v>
      </c>
      <c r="J53" t="s">
        <v>407</v>
      </c>
      <c r="K53" t="s">
        <v>408</v>
      </c>
      <c r="L53">
        <v>126</v>
      </c>
      <c r="S53" t="s">
        <v>409</v>
      </c>
      <c r="U53" t="s">
        <v>410</v>
      </c>
      <c r="V53" t="s">
        <v>411</v>
      </c>
      <c r="W53" s="2" t="str">
        <f t="shared" si="2"/>
        <v>16.159561413702463</v>
      </c>
      <c r="X53" s="2" t="str">
        <f t="shared" si="3"/>
        <v>74.79138722738</v>
      </c>
    </row>
    <row r="54" spans="1:24">
      <c r="A54" t="s">
        <v>412</v>
      </c>
      <c r="B54" t="s">
        <v>47</v>
      </c>
      <c r="C54" t="s">
        <v>39</v>
      </c>
      <c r="D54" t="s">
        <v>40</v>
      </c>
      <c r="E54">
        <v>17377</v>
      </c>
      <c r="F54">
        <v>2.5</v>
      </c>
      <c r="G54" t="s">
        <v>223</v>
      </c>
      <c r="I54" t="s">
        <v>413</v>
      </c>
      <c r="J54" t="s">
        <v>339</v>
      </c>
      <c r="K54" t="s">
        <v>414</v>
      </c>
      <c r="L54">
        <v>544</v>
      </c>
      <c r="O54">
        <v>298.88</v>
      </c>
      <c r="S54" t="s">
        <v>415</v>
      </c>
      <c r="V54" t="s">
        <v>416</v>
      </c>
      <c r="W54" s="2" t="str">
        <f t="shared" si="2"/>
        <v>16.34643688180103</v>
      </c>
      <c r="X54" s="2" t="str">
        <f t="shared" si="3"/>
        <v>75.24553529890831</v>
      </c>
    </row>
    <row r="55" spans="1:24">
      <c r="A55" t="s">
        <v>417</v>
      </c>
      <c r="B55" t="s">
        <v>47</v>
      </c>
      <c r="C55" t="s">
        <v>39</v>
      </c>
      <c r="D55" t="s">
        <v>27</v>
      </c>
      <c r="E55">
        <v>13000</v>
      </c>
      <c r="G55" t="s">
        <v>223</v>
      </c>
      <c r="H55" t="s">
        <v>418</v>
      </c>
      <c r="I55" t="s">
        <v>419</v>
      </c>
      <c r="J55" t="s">
        <v>420</v>
      </c>
      <c r="K55" t="s">
        <v>421</v>
      </c>
      <c r="L55">
        <v>566</v>
      </c>
      <c r="O55">
        <v>261.06</v>
      </c>
      <c r="U55" t="s">
        <v>422</v>
      </c>
      <c r="V55" t="s">
        <v>423</v>
      </c>
      <c r="W55" s="2" t="str">
        <f t="shared" si="2"/>
        <v>16.320079521997837</v>
      </c>
      <c r="X55" s="2" t="str">
        <f t="shared" si="3"/>
        <v>75.24690858985547</v>
      </c>
    </row>
    <row r="56" spans="1:24">
      <c r="A56" t="s">
        <v>424</v>
      </c>
      <c r="B56" t="s">
        <v>47</v>
      </c>
      <c r="C56" t="s">
        <v>222</v>
      </c>
      <c r="D56" t="s">
        <v>40</v>
      </c>
      <c r="G56" t="s">
        <v>425</v>
      </c>
      <c r="I56" t="s">
        <v>426</v>
      </c>
      <c r="J56" t="s">
        <v>427</v>
      </c>
      <c r="K56" t="s">
        <v>428</v>
      </c>
      <c r="L56">
        <v>80</v>
      </c>
      <c r="S56" t="s">
        <v>429</v>
      </c>
      <c r="U56" t="s">
        <v>430</v>
      </c>
      <c r="V56" t="s">
        <v>431</v>
      </c>
      <c r="W56" s="2" t="str">
        <f t="shared" si="2"/>
        <v>15.681300129989973</v>
      </c>
      <c r="X56" s="2" t="str">
        <f t="shared" si="3"/>
        <v>75.47528724053119</v>
      </c>
    </row>
    <row r="57" spans="1:24">
      <c r="A57" t="s">
        <v>432</v>
      </c>
      <c r="B57" t="s">
        <v>297</v>
      </c>
      <c r="C57" t="s">
        <v>39</v>
      </c>
      <c r="D57" t="s">
        <v>40</v>
      </c>
      <c r="G57" t="s">
        <v>352</v>
      </c>
      <c r="J57" t="s">
        <v>433</v>
      </c>
      <c r="K57" t="s">
        <v>434</v>
      </c>
      <c r="L57">
        <v>312</v>
      </c>
      <c r="U57" t="s">
        <v>435</v>
      </c>
      <c r="V57" t="s">
        <v>436</v>
      </c>
      <c r="W57" s="2" t="str">
        <f t="shared" si="2"/>
        <v>15.580919645775946</v>
      </c>
      <c r="X57" s="2" t="str">
        <f t="shared" si="3"/>
        <v>74.92517294668845</v>
      </c>
    </row>
    <row r="58" spans="1:24">
      <c r="A58" t="s">
        <v>437</v>
      </c>
      <c r="B58" t="s">
        <v>47</v>
      </c>
      <c r="C58" t="s">
        <v>222</v>
      </c>
      <c r="D58" t="s">
        <v>27</v>
      </c>
      <c r="E58">
        <v>6768</v>
      </c>
      <c r="F58">
        <v>1</v>
      </c>
      <c r="G58" t="s">
        <v>223</v>
      </c>
      <c r="H58" t="s">
        <v>103</v>
      </c>
      <c r="I58" t="s">
        <v>438</v>
      </c>
      <c r="J58" t="s">
        <v>59</v>
      </c>
      <c r="K58" t="s">
        <v>439</v>
      </c>
      <c r="L58">
        <v>546</v>
      </c>
      <c r="U58" t="s">
        <v>440</v>
      </c>
      <c r="V58" t="s">
        <v>441</v>
      </c>
      <c r="W58" s="2" t="str">
        <f t="shared" si="2"/>
        <v>16.350390179209732</v>
      </c>
      <c r="X58" s="2" t="str">
        <f t="shared" si="3"/>
        <v>75.24141542606684</v>
      </c>
    </row>
    <row r="59" spans="1:24">
      <c r="A59" t="s">
        <v>442</v>
      </c>
      <c r="B59" t="s">
        <v>122</v>
      </c>
      <c r="C59" t="s">
        <v>222</v>
      </c>
      <c r="D59" t="s">
        <v>166</v>
      </c>
      <c r="G59" t="s">
        <v>376</v>
      </c>
      <c r="H59" t="s">
        <v>443</v>
      </c>
      <c r="I59" t="s">
        <v>444</v>
      </c>
      <c r="J59" t="s">
        <v>445</v>
      </c>
      <c r="K59" t="s">
        <v>439</v>
      </c>
      <c r="L59">
        <v>274.5</v>
      </c>
      <c r="S59" t="s">
        <v>446</v>
      </c>
      <c r="U59" t="s">
        <v>447</v>
      </c>
      <c r="V59" t="s">
        <v>448</v>
      </c>
      <c r="W59" s="2" t="str">
        <f t="shared" si="2"/>
        <v>14.897443640085696</v>
      </c>
      <c r="X59" s="2" t="str">
        <f t="shared" si="3"/>
        <v>74.78460929524513</v>
      </c>
    </row>
    <row r="60" spans="1:24">
      <c r="A60" t="s">
        <v>449</v>
      </c>
      <c r="B60" t="s">
        <v>175</v>
      </c>
      <c r="C60" t="s">
        <v>222</v>
      </c>
      <c r="D60" t="s">
        <v>329</v>
      </c>
      <c r="H60" t="s">
        <v>450</v>
      </c>
      <c r="I60" t="s">
        <v>451</v>
      </c>
      <c r="J60" t="s">
        <v>452</v>
      </c>
      <c r="K60" t="s">
        <v>439</v>
      </c>
      <c r="L60">
        <v>30</v>
      </c>
      <c r="S60" t="s">
        <v>453</v>
      </c>
      <c r="U60" t="s">
        <v>454</v>
      </c>
      <c r="V60" t="s">
        <v>455</v>
      </c>
      <c r="W60" s="2" t="str">
        <f t="shared" si="2"/>
        <v>14.994408424388403</v>
      </c>
      <c r="X60" s="2" t="str">
        <f t="shared" si="3"/>
        <v>75.91295604963983</v>
      </c>
    </row>
    <row r="61" spans="1:24">
      <c r="A61" t="s">
        <v>456</v>
      </c>
      <c r="B61" t="s">
        <v>457</v>
      </c>
      <c r="C61" t="s">
        <v>57</v>
      </c>
      <c r="D61" t="s">
        <v>329</v>
      </c>
      <c r="E61">
        <v>80494</v>
      </c>
      <c r="G61" t="s">
        <v>458</v>
      </c>
      <c r="H61" t="s">
        <v>459</v>
      </c>
      <c r="I61" t="s">
        <v>460</v>
      </c>
      <c r="J61" t="s">
        <v>461</v>
      </c>
      <c r="K61" t="s">
        <v>462</v>
      </c>
      <c r="L61">
        <v>271.41</v>
      </c>
      <c r="M61" t="s">
        <v>463</v>
      </c>
      <c r="N61">
        <v>3395.02</v>
      </c>
      <c r="S61" t="s">
        <v>464</v>
      </c>
      <c r="T61" t="s">
        <v>465</v>
      </c>
      <c r="V61" t="s">
        <v>466</v>
      </c>
      <c r="W61" s="2" t="str">
        <f t="shared" si="2"/>
        <v>13.712202364678397</v>
      </c>
      <c r="X61" s="2" t="str">
        <f t="shared" si="3"/>
        <v>75.40466322873587</v>
      </c>
    </row>
    <row r="62" spans="1:24">
      <c r="A62" t="s">
        <v>467</v>
      </c>
      <c r="B62" t="s">
        <v>25</v>
      </c>
      <c r="C62" t="s">
        <v>57</v>
      </c>
      <c r="D62" t="s">
        <v>40</v>
      </c>
      <c r="G62" t="s">
        <v>468</v>
      </c>
      <c r="J62" t="s">
        <v>25</v>
      </c>
      <c r="K62" t="s">
        <v>469</v>
      </c>
      <c r="L62">
        <v>309</v>
      </c>
      <c r="O62">
        <v>319.13</v>
      </c>
      <c r="S62" t="s">
        <v>470</v>
      </c>
      <c r="T62" t="s">
        <v>471</v>
      </c>
      <c r="U62" t="s">
        <v>472</v>
      </c>
      <c r="V62" t="s">
        <v>473</v>
      </c>
      <c r="W62" s="2" t="str">
        <f t="shared" si="2"/>
        <v>13.740217849628268</v>
      </c>
      <c r="X62" s="2" t="str">
        <f t="shared" si="3"/>
        <v>75.40740981063018</v>
      </c>
    </row>
    <row r="63" spans="1:24">
      <c r="A63" t="s">
        <v>474</v>
      </c>
      <c r="B63" t="s">
        <v>122</v>
      </c>
      <c r="C63" t="s">
        <v>39</v>
      </c>
      <c r="D63" t="s">
        <v>475</v>
      </c>
      <c r="G63" t="s">
        <v>476</v>
      </c>
      <c r="H63" t="s">
        <v>477</v>
      </c>
      <c r="I63" t="s">
        <v>478</v>
      </c>
      <c r="J63" t="s">
        <v>479</v>
      </c>
      <c r="K63" t="s">
        <v>480</v>
      </c>
      <c r="L63">
        <v>415.68</v>
      </c>
      <c r="S63" t="s">
        <v>481</v>
      </c>
      <c r="U63" t="s">
        <v>482</v>
      </c>
      <c r="V63" t="s">
        <v>483</v>
      </c>
      <c r="W63" s="2" t="str">
        <f t="shared" si="2"/>
        <v>15.470031221805687</v>
      </c>
      <c r="X63" s="2" t="str">
        <f t="shared" si="3"/>
        <v>76.68239337914815</v>
      </c>
    </row>
    <row r="64" spans="1:24">
      <c r="A64" t="s">
        <v>484</v>
      </c>
      <c r="B64" t="s">
        <v>122</v>
      </c>
      <c r="C64" t="s">
        <v>39</v>
      </c>
      <c r="D64" t="s">
        <v>40</v>
      </c>
      <c r="J64" t="s">
        <v>485</v>
      </c>
      <c r="K64" t="s">
        <v>486</v>
      </c>
      <c r="L64">
        <v>167</v>
      </c>
      <c r="S64" t="s">
        <v>487</v>
      </c>
      <c r="U64" t="s">
        <v>488</v>
      </c>
      <c r="V64" t="s">
        <v>489</v>
      </c>
      <c r="W64" s="2" t="str">
        <f t="shared" si="2"/>
        <v>14.153314887561413</v>
      </c>
      <c r="X64" s="2" t="str">
        <f t="shared" si="3"/>
        <v>75.71407195829558</v>
      </c>
    </row>
    <row r="65" spans="1:24">
      <c r="A65" t="s">
        <v>490</v>
      </c>
      <c r="B65" t="s">
        <v>122</v>
      </c>
      <c r="C65" t="s">
        <v>57</v>
      </c>
      <c r="D65" t="s">
        <v>475</v>
      </c>
      <c r="F65">
        <v>0.15</v>
      </c>
      <c r="G65" t="s">
        <v>337</v>
      </c>
      <c r="H65" t="s">
        <v>491</v>
      </c>
      <c r="I65" t="s">
        <v>492</v>
      </c>
      <c r="J65" t="s">
        <v>493</v>
      </c>
      <c r="K65" t="s">
        <v>494</v>
      </c>
      <c r="L65">
        <v>16.5</v>
      </c>
      <c r="O65">
        <v>10.74</v>
      </c>
      <c r="S65" t="s">
        <v>495</v>
      </c>
      <c r="U65" t="s">
        <v>496</v>
      </c>
      <c r="V65" t="s">
        <v>497</v>
      </c>
      <c r="W65" s="2" t="str">
        <f t="shared" si="2"/>
        <v>14.587005302135303</v>
      </c>
      <c r="X65" s="2" t="str">
        <f t="shared" si="3"/>
        <v>75.25336972725162</v>
      </c>
    </row>
    <row r="66" spans="1:24">
      <c r="A66" t="s">
        <v>498</v>
      </c>
      <c r="B66" t="s">
        <v>38</v>
      </c>
      <c r="C66" t="s">
        <v>57</v>
      </c>
      <c r="D66" t="s">
        <v>40</v>
      </c>
      <c r="J66" t="s">
        <v>499</v>
      </c>
      <c r="K66" t="s">
        <v>480</v>
      </c>
      <c r="L66">
        <v>14.15</v>
      </c>
      <c r="S66" t="s">
        <v>500</v>
      </c>
      <c r="U66" t="s">
        <v>501</v>
      </c>
      <c r="V66" t="s">
        <v>502</v>
      </c>
      <c r="W66" s="2" t="str">
        <f t="shared" si="2"/>
        <v>14.699672802161682</v>
      </c>
      <c r="X66" s="2" t="str">
        <f t="shared" si="3"/>
        <v>75.34477934229636</v>
      </c>
    </row>
    <row r="67" spans="1:24">
      <c r="A67" t="s">
        <v>503</v>
      </c>
      <c r="B67" t="s">
        <v>69</v>
      </c>
      <c r="C67" t="s">
        <v>39</v>
      </c>
      <c r="D67" t="s">
        <v>475</v>
      </c>
      <c r="E67">
        <v>15702</v>
      </c>
      <c r="G67" t="s">
        <v>504</v>
      </c>
      <c r="H67" t="s">
        <v>505</v>
      </c>
      <c r="I67" t="s">
        <v>506</v>
      </c>
      <c r="J67" t="s">
        <v>265</v>
      </c>
      <c r="K67" t="s">
        <v>507</v>
      </c>
      <c r="L67">
        <v>9.43</v>
      </c>
      <c r="M67" t="s">
        <v>508</v>
      </c>
      <c r="N67">
        <v>569.53</v>
      </c>
      <c r="O67">
        <v>1362.38</v>
      </c>
      <c r="P67">
        <v>100</v>
      </c>
      <c r="Q67">
        <v>792.85</v>
      </c>
      <c r="S67" t="s">
        <v>509</v>
      </c>
      <c r="T67" t="s">
        <v>510</v>
      </c>
      <c r="V67" t="s">
        <v>511</v>
      </c>
      <c r="W67" s="2" t="str">
        <f t="shared" ref="W67:W98" si="4">TRIM(LEFT(V67,FIND(",",V67)-1))</f>
        <v>13.658497954782174</v>
      </c>
      <c r="X67" s="2" t="str">
        <f t="shared" ref="X67:X98" si="5">TRIM(MID(V67,FIND(",",V67)+1,LEN(V67)))</f>
        <v>74.94868452577879</v>
      </c>
    </row>
    <row r="68" spans="1:24">
      <c r="A68" t="s">
        <v>512</v>
      </c>
      <c r="B68" t="s">
        <v>122</v>
      </c>
      <c r="C68" t="s">
        <v>328</v>
      </c>
      <c r="D68" t="s">
        <v>40</v>
      </c>
      <c r="G68" t="s">
        <v>513</v>
      </c>
      <c r="H68" t="s">
        <v>71</v>
      </c>
      <c r="I68" t="s">
        <v>514</v>
      </c>
      <c r="J68" t="s">
        <v>515</v>
      </c>
      <c r="K68" t="s">
        <v>516</v>
      </c>
      <c r="L68">
        <v>227</v>
      </c>
      <c r="O68">
        <v>152.36</v>
      </c>
      <c r="S68" t="s">
        <v>517</v>
      </c>
      <c r="U68" t="s">
        <v>518</v>
      </c>
      <c r="V68" t="s">
        <v>519</v>
      </c>
      <c r="W68" s="2" t="str">
        <f t="shared" si="4"/>
        <v>14.780604907075245</v>
      </c>
      <c r="X68" s="2" t="str">
        <f t="shared" si="5"/>
        <v>75.98557448596836</v>
      </c>
    </row>
    <row r="69" spans="1:24">
      <c r="A69" t="s">
        <v>520</v>
      </c>
      <c r="B69" t="s">
        <v>122</v>
      </c>
      <c r="C69" t="s">
        <v>26</v>
      </c>
      <c r="D69" t="s">
        <v>329</v>
      </c>
      <c r="G69" t="s">
        <v>521</v>
      </c>
      <c r="H69" t="s">
        <v>330</v>
      </c>
      <c r="I69" t="s">
        <v>522</v>
      </c>
      <c r="J69" t="s">
        <v>523</v>
      </c>
      <c r="K69" t="s">
        <v>524</v>
      </c>
      <c r="L69">
        <v>38</v>
      </c>
      <c r="O69">
        <v>29.79</v>
      </c>
      <c r="S69" t="s">
        <v>525</v>
      </c>
      <c r="U69" t="s">
        <v>526</v>
      </c>
      <c r="V69" t="s">
        <v>527</v>
      </c>
      <c r="W69" s="2" t="str">
        <f t="shared" si="4"/>
        <v>15.044212295350246</v>
      </c>
      <c r="X69" s="2" t="str">
        <f t="shared" si="5"/>
        <v>75.74832236912111</v>
      </c>
    </row>
    <row r="70" spans="1:24">
      <c r="A70" t="s">
        <v>528</v>
      </c>
      <c r="B70" t="s">
        <v>529</v>
      </c>
      <c r="C70" t="s">
        <v>328</v>
      </c>
      <c r="D70" t="s">
        <v>329</v>
      </c>
      <c r="G70" t="s">
        <v>530</v>
      </c>
      <c r="H70" t="s">
        <v>330</v>
      </c>
      <c r="I70" t="s">
        <v>531</v>
      </c>
      <c r="J70" t="s">
        <v>479</v>
      </c>
      <c r="K70" t="s">
        <v>532</v>
      </c>
      <c r="L70">
        <v>79.8</v>
      </c>
      <c r="O70">
        <v>76.96</v>
      </c>
      <c r="S70" t="s">
        <v>533</v>
      </c>
      <c r="V70" t="s">
        <v>534</v>
      </c>
      <c r="W70" s="2" t="str">
        <f t="shared" si="4"/>
        <v>15.746513572020065</v>
      </c>
      <c r="X70" s="2" t="str">
        <f t="shared" si="5"/>
        <v>75.02243754847505</v>
      </c>
    </row>
    <row r="71" spans="1:24">
      <c r="A71" t="s">
        <v>535</v>
      </c>
      <c r="B71" t="s">
        <v>122</v>
      </c>
      <c r="C71" t="s">
        <v>328</v>
      </c>
      <c r="D71" t="s">
        <v>166</v>
      </c>
      <c r="F71">
        <v>0.107</v>
      </c>
      <c r="G71" t="s">
        <v>337</v>
      </c>
      <c r="H71" t="s">
        <v>385</v>
      </c>
      <c r="I71" t="s">
        <v>536</v>
      </c>
      <c r="J71" t="s">
        <v>537</v>
      </c>
      <c r="K71" t="s">
        <v>538</v>
      </c>
      <c r="L71">
        <v>62.58</v>
      </c>
      <c r="O71">
        <v>19.01</v>
      </c>
      <c r="S71" t="s">
        <v>539</v>
      </c>
      <c r="U71" t="s">
        <v>540</v>
      </c>
      <c r="V71" t="s">
        <v>541</v>
      </c>
      <c r="W71" s="2" t="str">
        <f t="shared" si="4"/>
        <v>14.533536201183239</v>
      </c>
      <c r="X71" s="2" t="str">
        <f t="shared" si="5"/>
        <v>75.01667672293812</v>
      </c>
    </row>
    <row r="72" spans="1:24">
      <c r="A72" t="s">
        <v>542</v>
      </c>
      <c r="B72" t="s">
        <v>122</v>
      </c>
      <c r="C72" t="s">
        <v>26</v>
      </c>
      <c r="D72" t="s">
        <v>475</v>
      </c>
      <c r="H72" t="s">
        <v>491</v>
      </c>
      <c r="I72" t="s">
        <v>543</v>
      </c>
      <c r="J72" t="s">
        <v>544</v>
      </c>
      <c r="K72" t="s">
        <v>545</v>
      </c>
      <c r="L72">
        <v>250</v>
      </c>
      <c r="O72">
        <v>202.37</v>
      </c>
      <c r="S72" t="s">
        <v>546</v>
      </c>
      <c r="U72" t="s">
        <v>547</v>
      </c>
      <c r="V72" t="s">
        <v>548</v>
      </c>
      <c r="W72" s="2" t="str">
        <f t="shared" si="4"/>
        <v>12.995891547707728</v>
      </c>
      <c r="X72" s="2" t="str">
        <f t="shared" si="5"/>
        <v>77.47924436265251</v>
      </c>
    </row>
    <row r="73" spans="1:24">
      <c r="A73" t="s">
        <v>549</v>
      </c>
      <c r="B73" t="s">
        <v>122</v>
      </c>
      <c r="C73" t="s">
        <v>328</v>
      </c>
      <c r="D73" t="s">
        <v>40</v>
      </c>
      <c r="F73">
        <v>0.35</v>
      </c>
      <c r="G73" t="s">
        <v>337</v>
      </c>
      <c r="I73" t="s">
        <v>550</v>
      </c>
      <c r="J73" t="s">
        <v>551</v>
      </c>
      <c r="K73" t="s">
        <v>552</v>
      </c>
      <c r="L73">
        <v>285</v>
      </c>
      <c r="O73">
        <v>215.21</v>
      </c>
      <c r="S73" t="s">
        <v>553</v>
      </c>
      <c r="U73" t="s">
        <v>554</v>
      </c>
      <c r="V73" t="s">
        <v>555</v>
      </c>
      <c r="W73" s="2" t="str">
        <f t="shared" si="4"/>
        <v>14.38081051493438</v>
      </c>
      <c r="X73" s="2" t="str">
        <f t="shared" si="5"/>
        <v>75.10193810655439</v>
      </c>
    </row>
    <row r="74" spans="1:24">
      <c r="A74" t="s">
        <v>556</v>
      </c>
      <c r="B74" t="s">
        <v>122</v>
      </c>
      <c r="C74" t="s">
        <v>39</v>
      </c>
      <c r="D74" t="s">
        <v>40</v>
      </c>
      <c r="F74">
        <v>1.53</v>
      </c>
      <c r="G74" t="s">
        <v>476</v>
      </c>
      <c r="I74" t="s">
        <v>557</v>
      </c>
      <c r="J74" t="s">
        <v>558</v>
      </c>
      <c r="K74" t="s">
        <v>559</v>
      </c>
      <c r="L74">
        <v>850</v>
      </c>
      <c r="S74" t="s">
        <v>560</v>
      </c>
      <c r="U74" t="s">
        <v>561</v>
      </c>
      <c r="V74" t="s">
        <v>562</v>
      </c>
      <c r="W74" s="2" t="str">
        <f t="shared" si="4"/>
        <v>14.265505124321269</v>
      </c>
      <c r="X74" s="2" t="str">
        <f t="shared" si="5"/>
        <v>75.35470966492919</v>
      </c>
    </row>
    <row r="75" spans="1:24">
      <c r="A75" t="s">
        <v>563</v>
      </c>
      <c r="B75" t="s">
        <v>122</v>
      </c>
      <c r="C75" t="s">
        <v>39</v>
      </c>
      <c r="D75" t="s">
        <v>40</v>
      </c>
      <c r="F75">
        <v>1.37</v>
      </c>
      <c r="G75" t="s">
        <v>476</v>
      </c>
      <c r="I75" t="s">
        <v>564</v>
      </c>
      <c r="J75" t="s">
        <v>565</v>
      </c>
      <c r="K75" t="s">
        <v>559</v>
      </c>
      <c r="L75">
        <v>660</v>
      </c>
      <c r="O75">
        <v>677.07</v>
      </c>
      <c r="S75" t="s">
        <v>566</v>
      </c>
      <c r="U75" t="s">
        <v>567</v>
      </c>
      <c r="V75" t="s">
        <v>568</v>
      </c>
      <c r="W75" s="2" t="str">
        <f t="shared" si="4"/>
        <v>14.519779627832746</v>
      </c>
      <c r="X75" s="2" t="str">
        <f t="shared" si="5"/>
        <v>76.33824337116006</v>
      </c>
    </row>
    <row r="76" spans="1:24">
      <c r="A76" t="s">
        <v>569</v>
      </c>
      <c r="B76" t="s">
        <v>122</v>
      </c>
      <c r="C76" t="s">
        <v>26</v>
      </c>
      <c r="D76" t="s">
        <v>166</v>
      </c>
      <c r="F76">
        <v>0.514</v>
      </c>
      <c r="G76" t="s">
        <v>476</v>
      </c>
      <c r="H76" t="s">
        <v>570</v>
      </c>
      <c r="I76" t="s">
        <v>571</v>
      </c>
      <c r="J76" t="s">
        <v>572</v>
      </c>
      <c r="K76" t="s">
        <v>573</v>
      </c>
      <c r="L76">
        <v>565</v>
      </c>
      <c r="O76">
        <v>683.79</v>
      </c>
      <c r="S76" t="s">
        <v>574</v>
      </c>
      <c r="U76" t="s">
        <v>575</v>
      </c>
      <c r="V76" t="s">
        <v>576</v>
      </c>
      <c r="W76" s="2" t="str">
        <f t="shared" si="4"/>
        <v>14.463505334612274</v>
      </c>
      <c r="X76" s="2" t="str">
        <f t="shared" si="5"/>
        <v>75.92693683865514</v>
      </c>
    </row>
    <row r="77" spans="1:24">
      <c r="A77" t="s">
        <v>577</v>
      </c>
      <c r="B77" t="s">
        <v>122</v>
      </c>
      <c r="C77" t="s">
        <v>328</v>
      </c>
      <c r="D77" t="s">
        <v>329</v>
      </c>
      <c r="F77">
        <v>0.5</v>
      </c>
      <c r="G77" t="s">
        <v>476</v>
      </c>
      <c r="H77" t="s">
        <v>330</v>
      </c>
      <c r="I77" t="s">
        <v>578</v>
      </c>
      <c r="J77" t="s">
        <v>579</v>
      </c>
      <c r="K77" t="s">
        <v>580</v>
      </c>
      <c r="L77">
        <v>212</v>
      </c>
      <c r="O77">
        <v>239.02</v>
      </c>
      <c r="S77" t="s">
        <v>581</v>
      </c>
      <c r="U77" t="s">
        <v>582</v>
      </c>
      <c r="V77" t="s">
        <v>583</v>
      </c>
      <c r="W77" s="2" t="str">
        <f t="shared" si="4"/>
        <v>14.589417165122548</v>
      </c>
      <c r="X77" s="2" t="str">
        <f t="shared" si="5"/>
        <v>75.46350338254219</v>
      </c>
    </row>
    <row r="78" spans="1:24">
      <c r="A78" t="s">
        <v>584</v>
      </c>
      <c r="B78" t="s">
        <v>122</v>
      </c>
      <c r="C78" t="s">
        <v>328</v>
      </c>
      <c r="D78" t="s">
        <v>329</v>
      </c>
      <c r="F78">
        <v>0.3</v>
      </c>
      <c r="G78" t="s">
        <v>476</v>
      </c>
      <c r="H78" t="s">
        <v>330</v>
      </c>
      <c r="I78" t="s">
        <v>578</v>
      </c>
      <c r="J78" t="s">
        <v>585</v>
      </c>
      <c r="K78" t="s">
        <v>580</v>
      </c>
      <c r="L78">
        <v>157</v>
      </c>
      <c r="O78">
        <v>158.12</v>
      </c>
      <c r="S78" t="s">
        <v>586</v>
      </c>
      <c r="U78" t="s">
        <v>587</v>
      </c>
      <c r="V78" t="s">
        <v>588</v>
      </c>
      <c r="W78" s="2" t="str">
        <f t="shared" si="4"/>
        <v>14.714736677323494</v>
      </c>
      <c r="X78" s="2" t="str">
        <f t="shared" si="5"/>
        <v>75.57501933392783</v>
      </c>
    </row>
    <row r="79" spans="1:24">
      <c r="A79" t="s">
        <v>589</v>
      </c>
      <c r="B79" t="s">
        <v>122</v>
      </c>
      <c r="C79" t="s">
        <v>39</v>
      </c>
      <c r="D79" t="s">
        <v>329</v>
      </c>
      <c r="G79" t="s">
        <v>337</v>
      </c>
      <c r="H79" t="s">
        <v>330</v>
      </c>
      <c r="I79" t="s">
        <v>590</v>
      </c>
      <c r="J79" t="s">
        <v>591</v>
      </c>
      <c r="K79" t="s">
        <v>580</v>
      </c>
      <c r="L79">
        <v>386.55</v>
      </c>
      <c r="O79">
        <v>366.79</v>
      </c>
      <c r="S79" t="s">
        <v>592</v>
      </c>
      <c r="U79" t="s">
        <v>593</v>
      </c>
      <c r="V79" t="s">
        <v>594</v>
      </c>
      <c r="W79" s="2" t="str">
        <f t="shared" si="4"/>
        <v>14.759524020549536</v>
      </c>
      <c r="X79" s="2" t="str">
        <f t="shared" si="5"/>
        <v>75.21792268608164</v>
      </c>
    </row>
    <row r="80" spans="1:24">
      <c r="A80" t="s">
        <v>595</v>
      </c>
      <c r="B80" t="s">
        <v>122</v>
      </c>
      <c r="C80" t="s">
        <v>26</v>
      </c>
      <c r="D80" t="s">
        <v>329</v>
      </c>
      <c r="G80" t="s">
        <v>337</v>
      </c>
      <c r="H80" t="s">
        <v>330</v>
      </c>
      <c r="I80" t="s">
        <v>590</v>
      </c>
      <c r="J80" t="s">
        <v>551</v>
      </c>
      <c r="K80" t="s">
        <v>580</v>
      </c>
      <c r="L80">
        <v>117.55</v>
      </c>
      <c r="S80" t="s">
        <v>596</v>
      </c>
      <c r="U80" t="s">
        <v>597</v>
      </c>
      <c r="V80" t="s">
        <v>598</v>
      </c>
      <c r="W80" s="2" t="str">
        <f t="shared" si="4"/>
        <v>14.649362498268369</v>
      </c>
      <c r="X80" s="2" t="str">
        <f t="shared" si="5"/>
        <v>75.1212024677627</v>
      </c>
    </row>
    <row r="81" spans="1:24">
      <c r="A81" t="s">
        <v>599</v>
      </c>
      <c r="B81" t="s">
        <v>122</v>
      </c>
      <c r="C81" t="s">
        <v>39</v>
      </c>
      <c r="D81" t="s">
        <v>329</v>
      </c>
      <c r="F81">
        <v>0.417</v>
      </c>
      <c r="G81" t="s">
        <v>476</v>
      </c>
      <c r="H81" t="s">
        <v>330</v>
      </c>
      <c r="I81" t="s">
        <v>600</v>
      </c>
      <c r="J81" t="s">
        <v>601</v>
      </c>
      <c r="K81" s="3">
        <v>43739</v>
      </c>
      <c r="L81">
        <v>185</v>
      </c>
      <c r="O81">
        <v>88.09</v>
      </c>
      <c r="S81" t="s">
        <v>602</v>
      </c>
      <c r="U81" t="s">
        <v>603</v>
      </c>
      <c r="V81" t="s">
        <v>604</v>
      </c>
      <c r="W81" s="2" t="str">
        <f t="shared" si="4"/>
        <v>14.795608117397373</v>
      </c>
      <c r="X81" s="2" t="str">
        <f t="shared" si="5"/>
        <v>75.39994232286952</v>
      </c>
    </row>
    <row r="82" spans="1:24">
      <c r="A82" t="s">
        <v>605</v>
      </c>
      <c r="B82" t="s">
        <v>47</v>
      </c>
      <c r="C82" t="s">
        <v>328</v>
      </c>
      <c r="D82" t="s">
        <v>475</v>
      </c>
      <c r="E82">
        <v>1350</v>
      </c>
      <c r="F82">
        <v>0.589</v>
      </c>
      <c r="G82" t="s">
        <v>606</v>
      </c>
      <c r="H82" t="s">
        <v>505</v>
      </c>
      <c r="I82" t="s">
        <v>607</v>
      </c>
      <c r="J82" t="s">
        <v>59</v>
      </c>
      <c r="K82" t="s">
        <v>545</v>
      </c>
      <c r="L82">
        <v>73.71</v>
      </c>
      <c r="O82">
        <v>67.66</v>
      </c>
      <c r="S82" t="s">
        <v>608</v>
      </c>
      <c r="U82" t="s">
        <v>609</v>
      </c>
      <c r="V82" t="s">
        <v>610</v>
      </c>
      <c r="W82" s="2" t="str">
        <f t="shared" si="4"/>
        <v>13.64631103693205</v>
      </c>
      <c r="X82" s="2" t="str">
        <f t="shared" si="5"/>
        <v>74.75642412045393</v>
      </c>
    </row>
    <row r="83" spans="1:24">
      <c r="A83" t="s">
        <v>611</v>
      </c>
      <c r="B83" t="s">
        <v>47</v>
      </c>
      <c r="C83" t="s">
        <v>328</v>
      </c>
      <c r="D83" t="s">
        <v>475</v>
      </c>
      <c r="E83">
        <v>1500</v>
      </c>
      <c r="H83" t="s">
        <v>505</v>
      </c>
      <c r="I83" t="s">
        <v>612</v>
      </c>
      <c r="J83" t="s">
        <v>613</v>
      </c>
      <c r="L83">
        <v>108</v>
      </c>
      <c r="O83">
        <v>92.16</v>
      </c>
      <c r="S83" t="s">
        <v>614</v>
      </c>
      <c r="U83" t="s">
        <v>615</v>
      </c>
      <c r="V83" t="s">
        <v>616</v>
      </c>
      <c r="W83" s="2" t="str">
        <f t="shared" si="4"/>
        <v>13.213331568400092</v>
      </c>
      <c r="X83" s="2" t="str">
        <f t="shared" si="5"/>
        <v>74.99913123579066</v>
      </c>
    </row>
    <row r="84" spans="1:24">
      <c r="A84" t="s">
        <v>617</v>
      </c>
      <c r="B84" t="s">
        <v>47</v>
      </c>
      <c r="C84" t="s">
        <v>328</v>
      </c>
      <c r="D84" t="s">
        <v>40</v>
      </c>
      <c r="E84">
        <v>3430</v>
      </c>
      <c r="G84" t="s">
        <v>618</v>
      </c>
      <c r="I84" t="s">
        <v>619</v>
      </c>
      <c r="J84" t="s">
        <v>620</v>
      </c>
      <c r="K84" t="s">
        <v>545</v>
      </c>
      <c r="L84">
        <v>125.17</v>
      </c>
      <c r="O84">
        <v>131.14</v>
      </c>
      <c r="S84" t="s">
        <v>621</v>
      </c>
      <c r="U84" t="s">
        <v>622</v>
      </c>
      <c r="V84" t="s">
        <v>623</v>
      </c>
      <c r="W84" s="2" t="str">
        <f t="shared" si="4"/>
        <v>14.42422558470481</v>
      </c>
      <c r="X84" s="2" t="str">
        <f t="shared" si="5"/>
        <v>75.51341658925575</v>
      </c>
    </row>
    <row r="85" spans="1:24">
      <c r="A85" t="s">
        <v>624</v>
      </c>
      <c r="B85" t="s">
        <v>122</v>
      </c>
      <c r="C85" t="s">
        <v>39</v>
      </c>
      <c r="D85" t="s">
        <v>166</v>
      </c>
      <c r="G85" t="s">
        <v>476</v>
      </c>
      <c r="H85" t="s">
        <v>570</v>
      </c>
      <c r="I85" t="s">
        <v>625</v>
      </c>
      <c r="J85" t="s">
        <v>626</v>
      </c>
      <c r="L85">
        <v>48</v>
      </c>
      <c r="O85">
        <v>35.18</v>
      </c>
      <c r="S85" t="s">
        <v>132</v>
      </c>
      <c r="U85" t="s">
        <v>627</v>
      </c>
      <c r="V85" t="s">
        <v>628</v>
      </c>
      <c r="W85" s="2" t="str">
        <f t="shared" si="4"/>
        <v>13.886271042711238</v>
      </c>
      <c r="X85" s="2" t="str">
        <f t="shared" si="5"/>
        <v>76.30957945304397</v>
      </c>
    </row>
    <row r="86" spans="1:24">
      <c r="A86" t="s">
        <v>629</v>
      </c>
      <c r="B86" t="s">
        <v>122</v>
      </c>
      <c r="C86" t="s">
        <v>39</v>
      </c>
      <c r="D86" t="s">
        <v>166</v>
      </c>
      <c r="F86">
        <v>0.575</v>
      </c>
      <c r="G86" t="s">
        <v>476</v>
      </c>
      <c r="H86" t="s">
        <v>570</v>
      </c>
      <c r="I86" t="s">
        <v>625</v>
      </c>
      <c r="J86" t="s">
        <v>630</v>
      </c>
      <c r="K86" t="s">
        <v>631</v>
      </c>
      <c r="L86">
        <v>415</v>
      </c>
      <c r="O86">
        <v>408.15</v>
      </c>
      <c r="R86">
        <v>386.43</v>
      </c>
      <c r="S86" t="s">
        <v>632</v>
      </c>
      <c r="U86" t="s">
        <v>633</v>
      </c>
      <c r="V86" t="s">
        <v>634</v>
      </c>
      <c r="W86" s="2" t="str">
        <f t="shared" si="4"/>
        <v>15.459442656722965</v>
      </c>
      <c r="X86" s="2" t="str">
        <f t="shared" si="5"/>
        <v>76.65492756020502</v>
      </c>
    </row>
    <row r="87" spans="1:24">
      <c r="A87" t="s">
        <v>635</v>
      </c>
      <c r="B87" t="s">
        <v>47</v>
      </c>
      <c r="C87" t="s">
        <v>39</v>
      </c>
      <c r="D87" t="s">
        <v>475</v>
      </c>
      <c r="E87">
        <v>1100</v>
      </c>
      <c r="G87" t="s">
        <v>636</v>
      </c>
      <c r="H87" t="s">
        <v>637</v>
      </c>
      <c r="I87" t="s">
        <v>638</v>
      </c>
      <c r="J87" t="s">
        <v>639</v>
      </c>
      <c r="K87" t="s">
        <v>631</v>
      </c>
      <c r="L87">
        <v>240</v>
      </c>
      <c r="O87">
        <v>64.6</v>
      </c>
      <c r="S87" t="s">
        <v>640</v>
      </c>
      <c r="U87" t="s">
        <v>641</v>
      </c>
      <c r="V87" t="s">
        <v>642</v>
      </c>
      <c r="W87" s="2" t="str">
        <f t="shared" si="4"/>
        <v>12.903125864714807</v>
      </c>
      <c r="X87" s="2" t="str">
        <f t="shared" si="5"/>
        <v>75.07936207736005</v>
      </c>
    </row>
    <row r="88" spans="1:24">
      <c r="A88" t="s">
        <v>643</v>
      </c>
      <c r="B88" t="s">
        <v>122</v>
      </c>
      <c r="C88" t="s">
        <v>39</v>
      </c>
      <c r="D88" t="s">
        <v>329</v>
      </c>
      <c r="F88">
        <v>0.263</v>
      </c>
      <c r="G88" t="s">
        <v>476</v>
      </c>
      <c r="H88" t="s">
        <v>330</v>
      </c>
      <c r="I88" t="s">
        <v>644</v>
      </c>
      <c r="J88" t="s">
        <v>645</v>
      </c>
      <c r="K88" t="s">
        <v>631</v>
      </c>
      <c r="L88">
        <v>206</v>
      </c>
      <c r="O88">
        <v>33.54</v>
      </c>
      <c r="S88" t="s">
        <v>646</v>
      </c>
      <c r="U88" t="s">
        <v>647</v>
      </c>
      <c r="V88" t="s">
        <v>648</v>
      </c>
      <c r="W88" s="2" t="str">
        <f t="shared" si="4"/>
        <v>14.51206796240738</v>
      </c>
      <c r="X88" s="2" t="str">
        <f t="shared" si="5"/>
        <v>75.69095968174271</v>
      </c>
    </row>
    <row r="89" spans="1:24">
      <c r="A89" t="s">
        <v>649</v>
      </c>
      <c r="B89" t="s">
        <v>122</v>
      </c>
      <c r="C89" t="s">
        <v>39</v>
      </c>
      <c r="D89" t="s">
        <v>329</v>
      </c>
      <c r="G89" t="s">
        <v>476</v>
      </c>
      <c r="H89" t="s">
        <v>330</v>
      </c>
      <c r="I89" t="s">
        <v>650</v>
      </c>
      <c r="J89" t="s">
        <v>651</v>
      </c>
      <c r="K89" t="s">
        <v>652</v>
      </c>
      <c r="L89">
        <v>24</v>
      </c>
      <c r="S89" t="s">
        <v>653</v>
      </c>
      <c r="U89" t="s">
        <v>654</v>
      </c>
      <c r="V89" t="s">
        <v>655</v>
      </c>
      <c r="W89" s="2" t="str">
        <f t="shared" si="4"/>
        <v>14.422351831211671</v>
      </c>
      <c r="X89" s="2" t="str">
        <f t="shared" si="5"/>
        <v>75.51171542337329</v>
      </c>
    </row>
    <row r="90" spans="1:24">
      <c r="A90" t="s">
        <v>656</v>
      </c>
      <c r="B90" t="s">
        <v>657</v>
      </c>
      <c r="C90" t="s">
        <v>202</v>
      </c>
      <c r="D90" t="s">
        <v>475</v>
      </c>
      <c r="E90">
        <v>1000</v>
      </c>
      <c r="G90" t="s">
        <v>658</v>
      </c>
      <c r="H90" t="s">
        <v>505</v>
      </c>
      <c r="J90" t="s">
        <v>659</v>
      </c>
      <c r="K90" t="s">
        <v>660</v>
      </c>
      <c r="L90">
        <v>165</v>
      </c>
      <c r="S90" t="s">
        <v>661</v>
      </c>
      <c r="U90" t="s">
        <v>662</v>
      </c>
      <c r="V90" t="s">
        <v>663</v>
      </c>
      <c r="W90" s="2" t="str">
        <f t="shared" si="4"/>
        <v>13.34681641639635</v>
      </c>
      <c r="X90" s="2" t="str">
        <f t="shared" si="5"/>
        <v>74.71282225913704</v>
      </c>
    </row>
    <row r="91" spans="1:24">
      <c r="A91" t="s">
        <v>664</v>
      </c>
      <c r="B91" t="s">
        <v>47</v>
      </c>
      <c r="C91" t="s">
        <v>202</v>
      </c>
      <c r="D91" t="s">
        <v>475</v>
      </c>
      <c r="E91">
        <v>1200</v>
      </c>
      <c r="G91" t="s">
        <v>665</v>
      </c>
      <c r="H91" t="s">
        <v>505</v>
      </c>
      <c r="I91" t="s">
        <v>666</v>
      </c>
      <c r="J91" t="s">
        <v>59</v>
      </c>
      <c r="K91" t="s">
        <v>667</v>
      </c>
      <c r="L91">
        <v>165.5</v>
      </c>
      <c r="S91" t="s">
        <v>248</v>
      </c>
      <c r="T91" t="s">
        <v>668</v>
      </c>
      <c r="U91" t="s">
        <v>669</v>
      </c>
      <c r="V91" t="s">
        <v>670</v>
      </c>
      <c r="W91" s="2" t="str">
        <f t="shared" si="4"/>
        <v>13.342080220575681</v>
      </c>
      <c r="X91" s="2" t="str">
        <f t="shared" si="5"/>
        <v>74.74786763244656</v>
      </c>
    </row>
    <row r="92" spans="1:24">
      <c r="A92" t="s">
        <v>671</v>
      </c>
      <c r="B92" t="s">
        <v>25</v>
      </c>
      <c r="C92" t="s">
        <v>57</v>
      </c>
      <c r="D92" t="s">
        <v>166</v>
      </c>
      <c r="E92">
        <v>20234</v>
      </c>
      <c r="F92">
        <v>5.75</v>
      </c>
      <c r="G92" t="s">
        <v>672</v>
      </c>
      <c r="H92" t="s">
        <v>673</v>
      </c>
      <c r="I92" t="s">
        <v>674</v>
      </c>
      <c r="J92" t="s">
        <v>59</v>
      </c>
      <c r="S92" t="s">
        <v>675</v>
      </c>
      <c r="T92" t="s">
        <v>676</v>
      </c>
      <c r="U92" t="s">
        <v>677</v>
      </c>
      <c r="V92" t="s">
        <v>678</v>
      </c>
      <c r="W92" s="2" t="str">
        <f t="shared" si="4"/>
        <v>17.44422806481591</v>
      </c>
      <c r="X92" s="2" t="str">
        <f t="shared" si="5"/>
        <v>77.02145680253592</v>
      </c>
    </row>
    <row r="93" spans="1:24">
      <c r="A93" t="s">
        <v>679</v>
      </c>
      <c r="B93" t="s">
        <v>47</v>
      </c>
      <c r="C93" t="s">
        <v>57</v>
      </c>
      <c r="D93" t="s">
        <v>166</v>
      </c>
      <c r="E93">
        <v>24292</v>
      </c>
      <c r="H93" t="s">
        <v>673</v>
      </c>
      <c r="I93" t="s">
        <v>680</v>
      </c>
      <c r="J93" t="s">
        <v>59</v>
      </c>
      <c r="O93">
        <v>1155.5</v>
      </c>
      <c r="S93" t="s">
        <v>681</v>
      </c>
      <c r="U93" t="s">
        <v>682</v>
      </c>
      <c r="V93" t="s">
        <v>683</v>
      </c>
      <c r="W93" s="2" t="str">
        <f t="shared" si="4"/>
        <v>17.17615263920732</v>
      </c>
      <c r="X93" s="2" t="str">
        <f t="shared" si="5"/>
        <v>76.3498859251734</v>
      </c>
    </row>
    <row r="94" spans="1:24">
      <c r="A94" t="s">
        <v>684</v>
      </c>
      <c r="B94" t="s">
        <v>25</v>
      </c>
      <c r="C94" t="s">
        <v>39</v>
      </c>
      <c r="D94" t="s">
        <v>166</v>
      </c>
      <c r="E94">
        <v>7943</v>
      </c>
      <c r="F94">
        <v>1.99</v>
      </c>
      <c r="H94" t="s">
        <v>685</v>
      </c>
      <c r="I94" t="s">
        <v>685</v>
      </c>
      <c r="J94" t="s">
        <v>59</v>
      </c>
      <c r="O94">
        <v>98.08</v>
      </c>
      <c r="S94" t="s">
        <v>686</v>
      </c>
      <c r="T94" t="s">
        <v>687</v>
      </c>
      <c r="U94" t="s">
        <v>688</v>
      </c>
      <c r="V94" t="s">
        <v>689</v>
      </c>
      <c r="W94" s="2" t="str">
        <f t="shared" si="4"/>
        <v>17.32638327529</v>
      </c>
      <c r="X94" s="2" t="str">
        <f t="shared" si="5"/>
        <v>76.83530440891488</v>
      </c>
    </row>
    <row r="95" spans="1:24">
      <c r="A95" t="s">
        <v>690</v>
      </c>
      <c r="B95" t="s">
        <v>25</v>
      </c>
      <c r="C95" t="s">
        <v>39</v>
      </c>
      <c r="D95" t="s">
        <v>166</v>
      </c>
      <c r="E95">
        <v>9713</v>
      </c>
      <c r="F95">
        <v>2.61</v>
      </c>
      <c r="G95" t="s">
        <v>691</v>
      </c>
      <c r="H95" t="s">
        <v>673</v>
      </c>
      <c r="I95" t="s">
        <v>692</v>
      </c>
      <c r="J95" t="s">
        <v>693</v>
      </c>
      <c r="L95">
        <v>117</v>
      </c>
      <c r="S95" t="s">
        <v>694</v>
      </c>
      <c r="T95" t="s">
        <v>695</v>
      </c>
      <c r="U95" t="s">
        <v>696</v>
      </c>
      <c r="V95" t="s">
        <v>697</v>
      </c>
      <c r="W95" s="2" t="str">
        <f t="shared" si="4"/>
        <v>17.539614837364812</v>
      </c>
      <c r="X95" s="2" t="str">
        <f t="shared" si="5"/>
        <v>77.23905178206941</v>
      </c>
    </row>
    <row r="96" spans="1:24">
      <c r="A96" t="s">
        <v>698</v>
      </c>
      <c r="B96" t="s">
        <v>457</v>
      </c>
      <c r="C96" t="s">
        <v>26</v>
      </c>
      <c r="D96" t="s">
        <v>699</v>
      </c>
      <c r="E96">
        <v>8729</v>
      </c>
      <c r="F96">
        <v>1.554</v>
      </c>
      <c r="G96" t="s">
        <v>700</v>
      </c>
      <c r="H96" t="s">
        <v>701</v>
      </c>
      <c r="I96" t="s">
        <v>702</v>
      </c>
      <c r="J96" t="s">
        <v>59</v>
      </c>
      <c r="S96" t="s">
        <v>686</v>
      </c>
      <c r="U96" t="s">
        <v>703</v>
      </c>
      <c r="V96" t="s">
        <v>704</v>
      </c>
      <c r="W96" s="2" t="str">
        <f t="shared" si="4"/>
        <v>17.486262140609075</v>
      </c>
      <c r="X96" s="2" t="str">
        <f t="shared" si="5"/>
        <v>76.55254819274293</v>
      </c>
    </row>
    <row r="97" spans="1:24">
      <c r="A97" t="s">
        <v>705</v>
      </c>
      <c r="B97" t="s">
        <v>47</v>
      </c>
      <c r="C97" t="s">
        <v>39</v>
      </c>
      <c r="D97" t="s">
        <v>166</v>
      </c>
      <c r="F97">
        <v>1</v>
      </c>
      <c r="G97" t="s">
        <v>706</v>
      </c>
      <c r="H97" t="s">
        <v>707</v>
      </c>
      <c r="I97" t="s">
        <v>708</v>
      </c>
      <c r="J97" t="s">
        <v>709</v>
      </c>
      <c r="K97" t="s">
        <v>710</v>
      </c>
      <c r="L97">
        <v>450</v>
      </c>
      <c r="O97">
        <v>205.75</v>
      </c>
      <c r="S97" t="s">
        <v>711</v>
      </c>
      <c r="U97" t="s">
        <v>712</v>
      </c>
      <c r="V97" t="s">
        <v>713</v>
      </c>
      <c r="W97" s="2" t="str">
        <f t="shared" si="4"/>
        <v>17.171816575045096</v>
      </c>
      <c r="X97" s="2" t="str">
        <f t="shared" si="5"/>
        <v>76.30382352909945</v>
      </c>
    </row>
    <row r="98" spans="1:24">
      <c r="A98" t="s">
        <v>714</v>
      </c>
      <c r="B98" t="s">
        <v>122</v>
      </c>
      <c r="C98" t="s">
        <v>202</v>
      </c>
      <c r="D98" t="s">
        <v>40</v>
      </c>
      <c r="G98" t="s">
        <v>706</v>
      </c>
      <c r="I98" t="s">
        <v>715</v>
      </c>
      <c r="J98" t="s">
        <v>479</v>
      </c>
      <c r="L98">
        <v>49.5</v>
      </c>
      <c r="S98" t="s">
        <v>716</v>
      </c>
      <c r="V98" t="s">
        <v>717</v>
      </c>
      <c r="W98" s="2" t="str">
        <f t="shared" si="4"/>
        <v>17.17226760019616</v>
      </c>
      <c r="X98" s="2" t="str">
        <f t="shared" si="5"/>
        <v>76.30408102115204</v>
      </c>
    </row>
    <row r="99" spans="1:24">
      <c r="A99" t="s">
        <v>718</v>
      </c>
      <c r="C99" t="s">
        <v>57</v>
      </c>
      <c r="D99" t="s">
        <v>699</v>
      </c>
      <c r="E99">
        <v>29227</v>
      </c>
      <c r="H99" t="s">
        <v>719</v>
      </c>
      <c r="I99" t="s">
        <v>720</v>
      </c>
      <c r="J99" t="s">
        <v>59</v>
      </c>
      <c r="O99">
        <v>890.81</v>
      </c>
      <c r="V99" t="s">
        <v>721</v>
      </c>
      <c r="W99" s="2" t="str">
        <f t="shared" ref="W99:W129" si="6">TRIM(LEFT(V99,FIND(",",V99)-1))</f>
        <v>18.103219001061873</v>
      </c>
      <c r="X99" s="2" t="str">
        <f t="shared" ref="X99:X129" si="7">TRIM(MID(V99,FIND(",",V99)+1,LEN(V99)))</f>
        <v>77.07011989808204</v>
      </c>
    </row>
    <row r="100" spans="1:24">
      <c r="A100" t="s">
        <v>722</v>
      </c>
      <c r="B100" t="s">
        <v>25</v>
      </c>
      <c r="C100" t="s">
        <v>57</v>
      </c>
      <c r="D100" t="s">
        <v>699</v>
      </c>
      <c r="E100">
        <v>29227</v>
      </c>
      <c r="H100" t="s">
        <v>719</v>
      </c>
      <c r="I100" t="s">
        <v>720</v>
      </c>
      <c r="J100" t="s">
        <v>723</v>
      </c>
      <c r="L100">
        <v>482</v>
      </c>
      <c r="O100">
        <v>427.78</v>
      </c>
      <c r="S100" t="s">
        <v>724</v>
      </c>
      <c r="T100" t="s">
        <v>725</v>
      </c>
      <c r="U100" t="s">
        <v>726</v>
      </c>
      <c r="V100" t="s">
        <v>727</v>
      </c>
      <c r="W100" s="2" t="str">
        <f t="shared" si="6"/>
        <v>17.909840465860203</v>
      </c>
      <c r="X100" s="2" t="str">
        <f t="shared" si="7"/>
        <v>77.52424373478514</v>
      </c>
    </row>
    <row r="101" spans="1:24">
      <c r="A101" t="s">
        <v>728</v>
      </c>
      <c r="B101" t="s">
        <v>729</v>
      </c>
      <c r="C101" t="s">
        <v>57</v>
      </c>
      <c r="D101" t="s">
        <v>699</v>
      </c>
      <c r="E101">
        <v>29227</v>
      </c>
      <c r="H101" t="s">
        <v>719</v>
      </c>
      <c r="I101" t="s">
        <v>720</v>
      </c>
      <c r="J101" t="s">
        <v>730</v>
      </c>
      <c r="L101">
        <v>126.85</v>
      </c>
      <c r="O101">
        <v>184.71</v>
      </c>
      <c r="S101" t="s">
        <v>731</v>
      </c>
      <c r="T101" t="s">
        <v>732</v>
      </c>
      <c r="U101" t="s">
        <v>733</v>
      </c>
      <c r="V101" t="s">
        <v>734</v>
      </c>
      <c r="W101" s="2" t="str">
        <f t="shared" si="6"/>
        <v>18.043820583586673</v>
      </c>
      <c r="X101" s="2" t="str">
        <f t="shared" si="7"/>
        <v>77.2418474202127</v>
      </c>
    </row>
    <row r="102" spans="1:24">
      <c r="A102" t="s">
        <v>735</v>
      </c>
      <c r="B102" t="s">
        <v>25</v>
      </c>
      <c r="C102" t="s">
        <v>26</v>
      </c>
      <c r="D102" t="s">
        <v>699</v>
      </c>
      <c r="E102">
        <v>3279</v>
      </c>
      <c r="G102" t="s">
        <v>736</v>
      </c>
      <c r="H102" t="s">
        <v>737</v>
      </c>
      <c r="I102" t="s">
        <v>738</v>
      </c>
      <c r="J102" t="s">
        <v>739</v>
      </c>
      <c r="L102">
        <v>68.6</v>
      </c>
      <c r="O102">
        <v>74.1</v>
      </c>
      <c r="S102" t="s">
        <v>740</v>
      </c>
      <c r="T102" t="s">
        <v>741</v>
      </c>
      <c r="U102" t="s">
        <v>742</v>
      </c>
      <c r="V102" t="s">
        <v>743</v>
      </c>
      <c r="W102" s="2" t="str">
        <f t="shared" si="6"/>
        <v>17.768548891264178</v>
      </c>
      <c r="X102" s="2" t="str">
        <f t="shared" si="7"/>
        <v>77.1298813428182</v>
      </c>
    </row>
    <row r="103" spans="1:24">
      <c r="A103" t="s">
        <v>744</v>
      </c>
      <c r="B103" t="s">
        <v>745</v>
      </c>
      <c r="C103" t="s">
        <v>39</v>
      </c>
      <c r="D103" t="s">
        <v>699</v>
      </c>
      <c r="F103">
        <v>0.768</v>
      </c>
      <c r="G103" t="s">
        <v>746</v>
      </c>
      <c r="H103" t="s">
        <v>719</v>
      </c>
      <c r="I103" t="s">
        <v>747</v>
      </c>
      <c r="J103" t="s">
        <v>748</v>
      </c>
      <c r="L103">
        <v>188</v>
      </c>
      <c r="O103">
        <v>147.47</v>
      </c>
      <c r="S103" t="s">
        <v>749</v>
      </c>
      <c r="U103" t="s">
        <v>750</v>
      </c>
      <c r="V103" t="s">
        <v>751</v>
      </c>
      <c r="W103" s="2" t="str">
        <f t="shared" si="6"/>
        <v>18.060136492381645</v>
      </c>
      <c r="X103" s="2" t="str">
        <f t="shared" si="7"/>
        <v>76.99128287740679</v>
      </c>
    </row>
    <row r="104" spans="1:24">
      <c r="A104" t="s">
        <v>752</v>
      </c>
      <c r="B104" t="s">
        <v>47</v>
      </c>
      <c r="C104" t="s">
        <v>202</v>
      </c>
      <c r="D104" t="s">
        <v>166</v>
      </c>
      <c r="E104">
        <v>1870</v>
      </c>
      <c r="G104" t="s">
        <v>753</v>
      </c>
      <c r="H104" t="s">
        <v>673</v>
      </c>
      <c r="I104" t="s">
        <v>754</v>
      </c>
      <c r="J104" t="s">
        <v>755</v>
      </c>
      <c r="L104">
        <v>143.8</v>
      </c>
      <c r="S104" t="s">
        <v>756</v>
      </c>
      <c r="U104" t="s">
        <v>757</v>
      </c>
      <c r="V104" t="s">
        <v>758</v>
      </c>
      <c r="W104" s="2" t="str">
        <f t="shared" si="6"/>
        <v>17.19058501835457</v>
      </c>
      <c r="X104" s="2" t="str">
        <f t="shared" si="7"/>
        <v>77.13612741089432</v>
      </c>
    </row>
    <row r="105" spans="1:24">
      <c r="A105" t="s">
        <v>759</v>
      </c>
      <c r="B105" t="s">
        <v>47</v>
      </c>
      <c r="C105" t="s">
        <v>222</v>
      </c>
      <c r="D105" t="s">
        <v>40</v>
      </c>
      <c r="E105">
        <v>3710</v>
      </c>
      <c r="H105" t="s">
        <v>71</v>
      </c>
      <c r="I105" t="s">
        <v>692</v>
      </c>
      <c r="J105" t="s">
        <v>265</v>
      </c>
      <c r="K105" s="3">
        <v>44927</v>
      </c>
      <c r="L105">
        <v>204.1</v>
      </c>
      <c r="U105" t="s">
        <v>760</v>
      </c>
      <c r="V105" t="s">
        <v>761</v>
      </c>
      <c r="W105" s="2" t="str">
        <f t="shared" si="6"/>
        <v>16.811208128939143</v>
      </c>
      <c r="X105" s="2" t="str">
        <f t="shared" si="7"/>
        <v>76.49082662351167</v>
      </c>
    </row>
    <row r="106" spans="1:24">
      <c r="A106" t="s">
        <v>762</v>
      </c>
      <c r="B106" t="s">
        <v>763</v>
      </c>
      <c r="C106" t="s">
        <v>222</v>
      </c>
      <c r="D106" t="s">
        <v>699</v>
      </c>
      <c r="G106" t="s">
        <v>764</v>
      </c>
      <c r="H106" t="s">
        <v>765</v>
      </c>
      <c r="I106" t="s">
        <v>766</v>
      </c>
      <c r="J106" t="s">
        <v>767</v>
      </c>
      <c r="K106" s="3">
        <v>44927</v>
      </c>
      <c r="L106">
        <v>560.7</v>
      </c>
      <c r="S106" t="s">
        <v>768</v>
      </c>
      <c r="U106" t="s">
        <v>769</v>
      </c>
      <c r="V106" t="s">
        <v>770</v>
      </c>
      <c r="W106" s="2" t="str">
        <f t="shared" si="6"/>
        <v>12.515121520508872</v>
      </c>
      <c r="X106" s="2" t="str">
        <f t="shared" si="7"/>
        <v>76.90443671934514</v>
      </c>
    </row>
    <row r="107" spans="1:24">
      <c r="A107" t="s">
        <v>771</v>
      </c>
      <c r="B107" t="s">
        <v>122</v>
      </c>
      <c r="C107" t="s">
        <v>222</v>
      </c>
      <c r="D107" t="s">
        <v>166</v>
      </c>
      <c r="E107">
        <v>20234</v>
      </c>
      <c r="F107">
        <v>1.624</v>
      </c>
      <c r="G107" t="s">
        <v>753</v>
      </c>
      <c r="H107" t="s">
        <v>772</v>
      </c>
      <c r="J107" t="s">
        <v>773</v>
      </c>
      <c r="L107">
        <v>365</v>
      </c>
      <c r="S107" t="s">
        <v>774</v>
      </c>
      <c r="U107" t="s">
        <v>775</v>
      </c>
      <c r="V107" t="s">
        <v>776</v>
      </c>
      <c r="W107" s="2" t="str">
        <f t="shared" si="6"/>
        <v>17.443753291020972</v>
      </c>
      <c r="X107" s="2" t="str">
        <f t="shared" si="7"/>
        <v>76.99079183970065</v>
      </c>
    </row>
    <row r="108" spans="1:24">
      <c r="A108" t="s">
        <v>777</v>
      </c>
      <c r="B108" t="s">
        <v>47</v>
      </c>
      <c r="C108" t="s">
        <v>222</v>
      </c>
      <c r="D108" t="s">
        <v>699</v>
      </c>
      <c r="E108">
        <v>8475</v>
      </c>
      <c r="G108" t="s">
        <v>764</v>
      </c>
      <c r="H108" t="s">
        <v>719</v>
      </c>
      <c r="I108" t="s">
        <v>778</v>
      </c>
      <c r="J108" t="s">
        <v>779</v>
      </c>
      <c r="K108" s="3">
        <v>44927</v>
      </c>
      <c r="L108">
        <v>762</v>
      </c>
      <c r="S108" t="s">
        <v>47</v>
      </c>
      <c r="U108" t="s">
        <v>780</v>
      </c>
      <c r="V108" t="s">
        <v>781</v>
      </c>
      <c r="W108" s="2" t="str">
        <f t="shared" si="6"/>
        <v>20.148158421669937</v>
      </c>
      <c r="X108" s="2" t="str">
        <f t="shared" si="7"/>
        <v>76.57228194925453</v>
      </c>
    </row>
    <row r="109" spans="1:24">
      <c r="A109" t="s">
        <v>782</v>
      </c>
      <c r="B109" t="s">
        <v>25</v>
      </c>
      <c r="C109" t="s">
        <v>39</v>
      </c>
      <c r="D109" t="s">
        <v>783</v>
      </c>
      <c r="E109">
        <v>362938</v>
      </c>
      <c r="G109" t="s">
        <v>476</v>
      </c>
      <c r="H109" t="s">
        <v>784</v>
      </c>
      <c r="J109" t="s">
        <v>785</v>
      </c>
      <c r="N109">
        <v>3161.35</v>
      </c>
      <c r="O109">
        <v>3144.75</v>
      </c>
      <c r="P109">
        <v>99.5</v>
      </c>
      <c r="Q109">
        <v>-16.6</v>
      </c>
      <c r="S109" t="s">
        <v>786</v>
      </c>
      <c r="T109" t="s">
        <v>787</v>
      </c>
      <c r="U109" t="s">
        <v>788</v>
      </c>
      <c r="V109" t="s">
        <v>789</v>
      </c>
      <c r="W109" s="2" t="str">
        <f t="shared" si="6"/>
        <v>15.265256437968791</v>
      </c>
      <c r="X109" s="2" t="str">
        <f t="shared" si="7"/>
        <v>76.34973137626326</v>
      </c>
    </row>
    <row r="110" spans="1:24">
      <c r="A110" t="s">
        <v>790</v>
      </c>
      <c r="B110" t="s">
        <v>86</v>
      </c>
      <c r="C110" t="s">
        <v>26</v>
      </c>
      <c r="D110" t="s">
        <v>783</v>
      </c>
      <c r="E110">
        <v>8330</v>
      </c>
      <c r="G110" t="s">
        <v>791</v>
      </c>
      <c r="H110" t="s">
        <v>792</v>
      </c>
      <c r="I110" t="s">
        <v>792</v>
      </c>
      <c r="J110" t="s">
        <v>59</v>
      </c>
      <c r="O110">
        <v>462.7</v>
      </c>
      <c r="S110" t="s">
        <v>686</v>
      </c>
      <c r="U110" t="s">
        <v>793</v>
      </c>
      <c r="V110" t="s">
        <v>794</v>
      </c>
      <c r="W110" s="2" t="str">
        <f t="shared" si="6"/>
        <v>15.446949763210153</v>
      </c>
      <c r="X110" s="2" t="str">
        <f t="shared" si="7"/>
        <v>76.10451805927205</v>
      </c>
    </row>
    <row r="111" spans="1:24">
      <c r="A111" t="s">
        <v>795</v>
      </c>
      <c r="B111" t="s">
        <v>47</v>
      </c>
      <c r="C111" t="s">
        <v>39</v>
      </c>
      <c r="D111" t="s">
        <v>329</v>
      </c>
      <c r="E111">
        <v>107380</v>
      </c>
      <c r="H111" t="s">
        <v>796</v>
      </c>
      <c r="I111" t="s">
        <v>797</v>
      </c>
      <c r="J111" t="s">
        <v>59</v>
      </c>
      <c r="O111">
        <v>4045.53</v>
      </c>
      <c r="S111" t="s">
        <v>798</v>
      </c>
      <c r="T111" t="s">
        <v>799</v>
      </c>
      <c r="U111" t="s">
        <v>800</v>
      </c>
      <c r="V111" t="s">
        <v>801</v>
      </c>
      <c r="W111" s="2" t="str">
        <f t="shared" si="6"/>
        <v>15.0585084743703</v>
      </c>
      <c r="X111" s="2" t="str">
        <f t="shared" si="7"/>
        <v>75.88714963743865</v>
      </c>
    </row>
    <row r="112" spans="1:24">
      <c r="A112" t="s">
        <v>802</v>
      </c>
      <c r="B112" t="s">
        <v>25</v>
      </c>
      <c r="C112" t="s">
        <v>39</v>
      </c>
      <c r="D112" t="s">
        <v>40</v>
      </c>
      <c r="E112">
        <v>11222</v>
      </c>
      <c r="I112" t="s">
        <v>803</v>
      </c>
      <c r="J112" t="s">
        <v>59</v>
      </c>
      <c r="L112">
        <v>456.63</v>
      </c>
      <c r="O112">
        <v>515.18</v>
      </c>
      <c r="S112" t="s">
        <v>804</v>
      </c>
      <c r="T112" t="s">
        <v>804</v>
      </c>
      <c r="U112" t="s">
        <v>805</v>
      </c>
      <c r="V112" t="s">
        <v>806</v>
      </c>
      <c r="W112" s="2" t="str">
        <f t="shared" si="6"/>
        <v>15.268554337406217</v>
      </c>
      <c r="X112" s="2" t="str">
        <f t="shared" si="7"/>
        <v>76.39298185236711</v>
      </c>
    </row>
    <row r="113" spans="1:24">
      <c r="A113" t="s">
        <v>807</v>
      </c>
      <c r="B113" t="s">
        <v>25</v>
      </c>
      <c r="C113" t="s">
        <v>39</v>
      </c>
      <c r="D113" t="s">
        <v>40</v>
      </c>
      <c r="E113">
        <v>2380</v>
      </c>
      <c r="G113" t="s">
        <v>513</v>
      </c>
      <c r="J113" t="s">
        <v>808</v>
      </c>
      <c r="O113">
        <v>52.2</v>
      </c>
      <c r="S113" t="s">
        <v>809</v>
      </c>
      <c r="U113" t="s">
        <v>810</v>
      </c>
      <c r="V113" t="s">
        <v>811</v>
      </c>
      <c r="W113" s="2" t="str">
        <f t="shared" si="6"/>
        <v>15.906627010567316</v>
      </c>
      <c r="X113" s="2" t="str">
        <f t="shared" si="7"/>
        <v>78.09011539119344</v>
      </c>
    </row>
    <row r="114" spans="1:24">
      <c r="A114" t="s">
        <v>812</v>
      </c>
      <c r="B114" t="s">
        <v>47</v>
      </c>
      <c r="C114" t="s">
        <v>57</v>
      </c>
      <c r="D114" t="s">
        <v>40</v>
      </c>
      <c r="E114">
        <v>5992.3</v>
      </c>
      <c r="I114" t="s">
        <v>792</v>
      </c>
      <c r="J114" t="s">
        <v>813</v>
      </c>
      <c r="L114">
        <v>87.36</v>
      </c>
      <c r="O114">
        <v>82.33</v>
      </c>
      <c r="V114" t="s">
        <v>814</v>
      </c>
      <c r="W114" s="2" t="str">
        <f t="shared" si="6"/>
        <v>16.144677163982806</v>
      </c>
      <c r="X114" s="2" t="str">
        <f t="shared" si="7"/>
        <v>74.9822892922598</v>
      </c>
    </row>
    <row r="115" spans="1:24">
      <c r="A115" t="s">
        <v>815</v>
      </c>
      <c r="B115" t="s">
        <v>47</v>
      </c>
      <c r="C115" t="s">
        <v>57</v>
      </c>
      <c r="D115" t="s">
        <v>783</v>
      </c>
      <c r="E115">
        <v>2965</v>
      </c>
      <c r="G115" t="s">
        <v>476</v>
      </c>
      <c r="H115" t="s">
        <v>816</v>
      </c>
      <c r="I115" t="s">
        <v>817</v>
      </c>
      <c r="J115" t="s">
        <v>818</v>
      </c>
      <c r="K115" t="s">
        <v>819</v>
      </c>
      <c r="L115">
        <v>144.95</v>
      </c>
      <c r="O115">
        <v>135.82</v>
      </c>
      <c r="S115" t="s">
        <v>820</v>
      </c>
      <c r="U115" t="s">
        <v>821</v>
      </c>
      <c r="V115" t="s">
        <v>822</v>
      </c>
      <c r="W115" s="2" t="str">
        <f t="shared" si="6"/>
        <v>15.040692587774704</v>
      </c>
      <c r="X115" s="2" t="str">
        <f t="shared" si="7"/>
        <v>76.18449649641803</v>
      </c>
    </row>
    <row r="116" spans="1:24">
      <c r="A116" t="s">
        <v>823</v>
      </c>
      <c r="B116" t="s">
        <v>122</v>
      </c>
      <c r="C116" t="s">
        <v>39</v>
      </c>
      <c r="D116" t="s">
        <v>329</v>
      </c>
      <c r="F116">
        <v>0.226</v>
      </c>
      <c r="G116" t="s">
        <v>513</v>
      </c>
      <c r="H116" t="s">
        <v>824</v>
      </c>
      <c r="I116" t="s">
        <v>825</v>
      </c>
      <c r="J116" t="s">
        <v>826</v>
      </c>
      <c r="K116" t="s">
        <v>827</v>
      </c>
      <c r="L116">
        <v>140</v>
      </c>
      <c r="O116">
        <v>10.3</v>
      </c>
      <c r="S116" t="s">
        <v>828</v>
      </c>
      <c r="V116" t="s">
        <v>829</v>
      </c>
      <c r="W116" s="2" t="str">
        <f t="shared" si="6"/>
        <v>15.232421201664724</v>
      </c>
      <c r="X116" s="2" t="str">
        <f t="shared" si="7"/>
        <v>75.5788348157182</v>
      </c>
    </row>
    <row r="117" spans="1:24">
      <c r="A117" t="s">
        <v>830</v>
      </c>
      <c r="B117" t="s">
        <v>47</v>
      </c>
      <c r="C117" t="s">
        <v>328</v>
      </c>
      <c r="D117" t="s">
        <v>783</v>
      </c>
      <c r="E117">
        <v>34984</v>
      </c>
      <c r="H117" t="s">
        <v>831</v>
      </c>
      <c r="I117" t="s">
        <v>832</v>
      </c>
      <c r="J117" t="s">
        <v>833</v>
      </c>
      <c r="L117">
        <v>92</v>
      </c>
      <c r="O117">
        <v>79.42</v>
      </c>
      <c r="T117" t="s">
        <v>834</v>
      </c>
      <c r="U117" t="s">
        <v>835</v>
      </c>
      <c r="V117" t="s">
        <v>836</v>
      </c>
      <c r="W117" s="2" t="str">
        <f t="shared" si="6"/>
        <v>14.955407988074835</v>
      </c>
      <c r="X117" s="2" t="str">
        <f t="shared" si="7"/>
        <v>75.72820759907438</v>
      </c>
    </row>
    <row r="118" spans="1:24">
      <c r="A118" t="s">
        <v>837</v>
      </c>
      <c r="B118" t="s">
        <v>838</v>
      </c>
      <c r="C118" t="s">
        <v>57</v>
      </c>
      <c r="D118" t="s">
        <v>40</v>
      </c>
      <c r="I118" t="s">
        <v>839</v>
      </c>
      <c r="J118" t="s">
        <v>840</v>
      </c>
      <c r="L118">
        <v>15</v>
      </c>
      <c r="S118" t="s">
        <v>841</v>
      </c>
      <c r="U118" t="s">
        <v>842</v>
      </c>
      <c r="V118" t="s">
        <v>843</v>
      </c>
      <c r="W118" s="2" t="str">
        <f t="shared" si="6"/>
        <v>15.432584881302475</v>
      </c>
      <c r="X118" s="2" t="str">
        <f t="shared" si="7"/>
        <v>76.5259412609265</v>
      </c>
    </row>
    <row r="119" spans="1:24">
      <c r="A119" t="s">
        <v>844</v>
      </c>
      <c r="B119" t="s">
        <v>47</v>
      </c>
      <c r="C119" t="s">
        <v>39</v>
      </c>
      <c r="D119" t="s">
        <v>40</v>
      </c>
      <c r="E119">
        <v>5256</v>
      </c>
      <c r="F119">
        <v>0.6</v>
      </c>
      <c r="G119" t="s">
        <v>476</v>
      </c>
      <c r="J119" t="s">
        <v>845</v>
      </c>
      <c r="L119">
        <v>188.41</v>
      </c>
      <c r="O119">
        <v>36.7</v>
      </c>
      <c r="U119" t="s">
        <v>846</v>
      </c>
      <c r="V119" t="s">
        <v>847</v>
      </c>
      <c r="W119" s="2" t="str">
        <f t="shared" si="6"/>
        <v>15.315530967776887</v>
      </c>
      <c r="X119" s="2" t="str">
        <f t="shared" si="7"/>
        <v>76.16274123079032</v>
      </c>
    </row>
    <row r="120" spans="1:24">
      <c r="A120" t="s">
        <v>848</v>
      </c>
      <c r="B120" t="s">
        <v>175</v>
      </c>
      <c r="C120" t="s">
        <v>328</v>
      </c>
      <c r="D120" t="s">
        <v>783</v>
      </c>
      <c r="F120">
        <v>0.745</v>
      </c>
      <c r="G120" t="s">
        <v>94</v>
      </c>
      <c r="H120" t="s">
        <v>831</v>
      </c>
      <c r="I120" t="s">
        <v>831</v>
      </c>
      <c r="J120" t="s">
        <v>849</v>
      </c>
      <c r="L120">
        <v>189.22</v>
      </c>
      <c r="O120">
        <v>109.77</v>
      </c>
      <c r="S120" t="s">
        <v>850</v>
      </c>
      <c r="T120" t="s">
        <v>851</v>
      </c>
      <c r="U120" t="s">
        <v>852</v>
      </c>
      <c r="V120" t="s">
        <v>853</v>
      </c>
      <c r="W120" s="2" t="str">
        <f t="shared" si="6"/>
        <v>15.70168089317547</v>
      </c>
      <c r="X120" s="2" t="str">
        <f t="shared" si="7"/>
        <v>77.22249808709587</v>
      </c>
    </row>
    <row r="121" spans="1:24">
      <c r="A121" t="s">
        <v>854</v>
      </c>
      <c r="B121" t="s">
        <v>855</v>
      </c>
      <c r="C121" t="s">
        <v>222</v>
      </c>
      <c r="D121" t="s">
        <v>40</v>
      </c>
      <c r="F121">
        <v>0.223</v>
      </c>
      <c r="G121" t="s">
        <v>476</v>
      </c>
      <c r="I121" t="s">
        <v>856</v>
      </c>
      <c r="J121" t="s">
        <v>857</v>
      </c>
      <c r="L121">
        <v>243.35</v>
      </c>
      <c r="O121">
        <v>205.99</v>
      </c>
      <c r="S121" t="s">
        <v>858</v>
      </c>
      <c r="U121" t="s">
        <v>859</v>
      </c>
      <c r="V121" t="s">
        <v>860</v>
      </c>
      <c r="W121" s="2" t="str">
        <f t="shared" si="6"/>
        <v>15.268388735254172</v>
      </c>
      <c r="X121" s="2" t="str">
        <f t="shared" si="7"/>
        <v>76.39263852963032</v>
      </c>
    </row>
    <row r="122" spans="1:24">
      <c r="A122" t="s">
        <v>861</v>
      </c>
      <c r="B122" t="s">
        <v>122</v>
      </c>
      <c r="C122" t="s">
        <v>39</v>
      </c>
      <c r="D122" t="s">
        <v>329</v>
      </c>
      <c r="G122" t="s">
        <v>476</v>
      </c>
      <c r="H122" t="s">
        <v>824</v>
      </c>
      <c r="I122" t="s">
        <v>862</v>
      </c>
      <c r="J122" t="s">
        <v>863</v>
      </c>
      <c r="L122">
        <v>10</v>
      </c>
      <c r="S122" t="s">
        <v>864</v>
      </c>
      <c r="V122" t="s">
        <v>865</v>
      </c>
      <c r="W122" s="2" t="str">
        <f t="shared" si="6"/>
        <v>15.256444557257877</v>
      </c>
      <c r="X122" s="2" t="str">
        <f t="shared" si="7"/>
        <v>75.66832052309299</v>
      </c>
    </row>
    <row r="123" spans="1:24">
      <c r="A123" t="s">
        <v>866</v>
      </c>
      <c r="B123" t="s">
        <v>122</v>
      </c>
      <c r="C123" t="s">
        <v>39</v>
      </c>
      <c r="D123" t="s">
        <v>783</v>
      </c>
      <c r="F123">
        <v>0.105</v>
      </c>
      <c r="G123" t="s">
        <v>476</v>
      </c>
      <c r="H123" t="s">
        <v>867</v>
      </c>
      <c r="I123" t="s">
        <v>868</v>
      </c>
      <c r="J123" t="s">
        <v>869</v>
      </c>
      <c r="K123" s="3">
        <v>44348</v>
      </c>
      <c r="L123">
        <v>93</v>
      </c>
      <c r="O123">
        <v>15.27</v>
      </c>
      <c r="V123" t="s">
        <v>870</v>
      </c>
      <c r="W123" s="2" t="str">
        <f t="shared" si="6"/>
        <v>15.420811359254957</v>
      </c>
      <c r="X123" s="2" t="str">
        <f t="shared" si="7"/>
        <v>76.39054585422664</v>
      </c>
    </row>
    <row r="124" spans="1:24">
      <c r="A124" t="s">
        <v>871</v>
      </c>
      <c r="B124" t="s">
        <v>122</v>
      </c>
      <c r="C124" t="s">
        <v>39</v>
      </c>
      <c r="D124" t="s">
        <v>40</v>
      </c>
      <c r="F124">
        <v>1.441</v>
      </c>
      <c r="G124" t="s">
        <v>476</v>
      </c>
      <c r="I124" t="s">
        <v>872</v>
      </c>
      <c r="J124" t="s">
        <v>873</v>
      </c>
      <c r="K124" t="s">
        <v>631</v>
      </c>
      <c r="L124">
        <v>670</v>
      </c>
      <c r="O124">
        <v>670.66</v>
      </c>
      <c r="R124">
        <v>500</v>
      </c>
      <c r="S124" t="s">
        <v>874</v>
      </c>
      <c r="U124" t="s">
        <v>875</v>
      </c>
      <c r="V124" t="s">
        <v>876</v>
      </c>
      <c r="W124" s="2" t="str">
        <f t="shared" si="6"/>
        <v>14.905357153868456</v>
      </c>
      <c r="X124" s="2" t="str">
        <f t="shared" si="7"/>
        <v>76.39001496850214</v>
      </c>
    </row>
    <row r="125" spans="1:24">
      <c r="A125" t="s">
        <v>877</v>
      </c>
      <c r="B125" t="s">
        <v>122</v>
      </c>
      <c r="C125" t="s">
        <v>202</v>
      </c>
      <c r="D125" t="s">
        <v>329</v>
      </c>
      <c r="H125" t="s">
        <v>878</v>
      </c>
      <c r="I125" t="s">
        <v>879</v>
      </c>
      <c r="J125" t="s">
        <v>880</v>
      </c>
      <c r="K125" t="s">
        <v>881</v>
      </c>
      <c r="L125">
        <v>197.5</v>
      </c>
      <c r="S125" t="s">
        <v>882</v>
      </c>
      <c r="U125" t="s">
        <v>883</v>
      </c>
      <c r="V125" t="s">
        <v>884</v>
      </c>
      <c r="W125" s="2" t="str">
        <f t="shared" si="6"/>
        <v>14.904216689290084</v>
      </c>
      <c r="X125" s="2" t="str">
        <f t="shared" si="7"/>
        <v>76.38719328475916</v>
      </c>
    </row>
    <row r="126" spans="1:24">
      <c r="A126" t="s">
        <v>885</v>
      </c>
      <c r="B126" t="s">
        <v>25</v>
      </c>
      <c r="C126" t="s">
        <v>39</v>
      </c>
      <c r="D126" t="s">
        <v>783</v>
      </c>
      <c r="E126">
        <v>3001</v>
      </c>
      <c r="F126">
        <v>0.78</v>
      </c>
      <c r="G126" t="s">
        <v>886</v>
      </c>
      <c r="H126" t="s">
        <v>831</v>
      </c>
      <c r="I126" t="s">
        <v>887</v>
      </c>
      <c r="J126" t="s">
        <v>888</v>
      </c>
      <c r="L126">
        <v>52.54</v>
      </c>
      <c r="O126">
        <v>13.29</v>
      </c>
      <c r="S126" t="s">
        <v>889</v>
      </c>
      <c r="T126" t="s">
        <v>890</v>
      </c>
      <c r="U126" t="s">
        <v>891</v>
      </c>
      <c r="V126" t="s">
        <v>892</v>
      </c>
      <c r="W126" s="2" t="str">
        <f t="shared" si="6"/>
        <v>16.018714485062297</v>
      </c>
      <c r="X126" s="2" t="str">
        <f t="shared" si="7"/>
        <v>76.5482711741082</v>
      </c>
    </row>
    <row r="127" spans="1:24">
      <c r="A127" t="s">
        <v>893</v>
      </c>
      <c r="B127" t="s">
        <v>122</v>
      </c>
      <c r="C127" t="s">
        <v>39</v>
      </c>
      <c r="D127" t="s">
        <v>783</v>
      </c>
      <c r="G127" t="s">
        <v>476</v>
      </c>
      <c r="H127" t="s">
        <v>867</v>
      </c>
      <c r="I127" t="s">
        <v>894</v>
      </c>
      <c r="J127" t="s">
        <v>895</v>
      </c>
      <c r="L127">
        <v>241.2</v>
      </c>
      <c r="S127" t="s">
        <v>896</v>
      </c>
      <c r="U127" t="s">
        <v>897</v>
      </c>
      <c r="V127" t="s">
        <v>898</v>
      </c>
      <c r="W127" s="2" t="str">
        <f t="shared" si="6"/>
        <v>15.441816839981323</v>
      </c>
      <c r="X127" s="2" t="str">
        <f t="shared" si="7"/>
        <v>76.32460734086432</v>
      </c>
    </row>
    <row r="128" spans="1:24">
      <c r="A128" t="s">
        <v>899</v>
      </c>
      <c r="B128" t="s">
        <v>122</v>
      </c>
      <c r="C128" t="s">
        <v>39</v>
      </c>
      <c r="D128" t="s">
        <v>40</v>
      </c>
      <c r="G128" t="s">
        <v>513</v>
      </c>
      <c r="I128" t="s">
        <v>831</v>
      </c>
      <c r="J128" t="s">
        <v>900</v>
      </c>
      <c r="L128">
        <v>146.8</v>
      </c>
      <c r="O128">
        <v>15.1</v>
      </c>
      <c r="R128">
        <v>146.8</v>
      </c>
      <c r="S128" t="s">
        <v>901</v>
      </c>
      <c r="T128" t="s">
        <v>902</v>
      </c>
      <c r="U128" t="s">
        <v>903</v>
      </c>
      <c r="V128" t="s">
        <v>904</v>
      </c>
      <c r="W128" s="2" t="str">
        <f t="shared" si="6"/>
        <v>15.775806889709008</v>
      </c>
      <c r="X128" s="2" t="str">
        <f t="shared" si="7"/>
        <v>76.62747142312493</v>
      </c>
    </row>
    <row r="129" spans="1:24">
      <c r="A129" t="s">
        <v>905</v>
      </c>
      <c r="B129" t="s">
        <v>906</v>
      </c>
      <c r="C129" t="s">
        <v>202</v>
      </c>
      <c r="D129" t="s">
        <v>783</v>
      </c>
      <c r="G129" t="s">
        <v>907</v>
      </c>
      <c r="H129" t="s">
        <v>831</v>
      </c>
      <c r="J129" t="s">
        <v>908</v>
      </c>
      <c r="S129" t="s">
        <v>909</v>
      </c>
      <c r="U129" t="s">
        <v>910</v>
      </c>
      <c r="V129" t="s">
        <v>911</v>
      </c>
      <c r="W129" s="2" t="str">
        <f t="shared" si="6"/>
        <v>16.213161912882388</v>
      </c>
      <c r="X129" s="2" t="str">
        <f t="shared" si="7"/>
        <v>77.35541506041838</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karnataka_irrigation_projects_2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Sudarshan Acharya</cp:lastModifiedBy>
  <dcterms:created xsi:type="dcterms:W3CDTF">2025-10-07T07:17:00Z</dcterms:created>
  <dcterms:modified xsi:type="dcterms:W3CDTF">2025-10-08T16:41:33Z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F37245E75BBA4B0B8A34B6A3EB17D726_13</vt:lpwstr>
  </property>
  <property fmtid="{D5CDD505-2E9C-101B-9397-08002B2CF9AE}" pid="3" name="KSOProductBuildVer">
    <vt:lpwstr>1033-12.2.0.22556</vt:lpwstr>
  </property>
</Properties>
</file>